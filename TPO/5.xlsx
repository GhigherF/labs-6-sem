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s\labs-6-sem\TPO\"/>
    </mc:Choice>
  </mc:AlternateContent>
  <xr:revisionPtr revIDLastSave="0" documentId="13_ncr:1_{5D3204D1-50A3-43C7-A2E6-0930633117F3}" xr6:coauthVersionLast="47" xr6:coauthVersionMax="47" xr10:uidLastSave="{00000000-0000-0000-0000-000000000000}"/>
  <bookViews>
    <workbookView xWindow="-108" yWindow="-108" windowWidth="23256" windowHeight="13176" activeTab="2" xr2:uid="{6D2EA6D8-425F-4999-AD32-D43F617B9117}"/>
  </bookViews>
  <sheets>
    <sheet name="Граничные значения" sheetId="1" r:id="rId1"/>
    <sheet name="Таблица решений" sheetId="2" r:id="rId2"/>
    <sheet name="Попарное тестирование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G3" i="3"/>
  <c r="G2" i="3"/>
  <c r="A1" i="3"/>
  <c r="R6" i="1"/>
  <c r="Q7" i="1"/>
  <c r="R7" i="1" s="1"/>
  <c r="N7" i="1"/>
  <c r="L7" i="1"/>
  <c r="N6" i="1"/>
  <c r="L6" i="1"/>
  <c r="D13" i="1"/>
  <c r="D14" i="1"/>
  <c r="D8" i="1"/>
  <c r="D7" i="1"/>
</calcChain>
</file>

<file path=xl/sharedStrings.xml><?xml version="1.0" encoding="utf-8"?>
<sst xmlns="http://schemas.openxmlformats.org/spreadsheetml/2006/main" count="354" uniqueCount="134">
  <si>
    <t>ID</t>
  </si>
  <si>
    <t>Parameter</t>
  </si>
  <si>
    <t>Value</t>
  </si>
  <si>
    <t>Expected Result:</t>
  </si>
  <si>
    <t>B1</t>
  </si>
  <si>
    <t>Min-1</t>
  </si>
  <si>
    <t>B2</t>
  </si>
  <si>
    <t>Min</t>
  </si>
  <si>
    <t>B3</t>
  </si>
  <si>
    <t>Average</t>
  </si>
  <si>
    <t>B4</t>
  </si>
  <si>
    <t>Max</t>
  </si>
  <si>
    <t>B5</t>
  </si>
  <si>
    <t>Max+1</t>
  </si>
  <si>
    <t>"gg"</t>
  </si>
  <si>
    <t>Нормальное поведение приложения</t>
  </si>
  <si>
    <t>"A"</t>
  </si>
  <si>
    <t>"Login"</t>
  </si>
  <si>
    <t xml:space="preserve">        Login:</t>
  </si>
  <si>
    <t xml:space="preserve">        Password:</t>
  </si>
  <si>
    <t>Предупреждение об ошибке(“Login is too short, dude!”)</t>
  </si>
  <si>
    <t>Предупреждение об ошибке</t>
  </si>
  <si>
    <t>"QW25er!"</t>
  </si>
  <si>
    <t>"QW25er"</t>
  </si>
  <si>
    <t>Предупреждение об ошибке(“Password is too short, dude!”)</t>
  </si>
  <si>
    <t>"Qhuig67!!A"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</si>
  <si>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</si>
  <si>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</si>
  <si>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</si>
  <si>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</si>
  <si>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</si>
  <si>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</si>
  <si>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</si>
  <si>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</si>
  <si>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</si>
  <si>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</si>
  <si>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 xml:space="preserve">        Email:</t>
  </si>
  <si>
    <t>"@a.by"</t>
  </si>
  <si>
    <t>a@a.by</t>
  </si>
  <si>
    <t>dmitrochenko.kirill.denisovich@gmail.com</t>
  </si>
  <si>
    <t>B16</t>
  </si>
  <si>
    <t>B17</t>
  </si>
  <si>
    <t>B18</t>
  </si>
  <si>
    <t>B19</t>
  </si>
  <si>
    <t>B20</t>
  </si>
  <si>
    <t>local-part</t>
  </si>
  <si>
    <t>@</t>
  </si>
  <si>
    <t>hostname</t>
  </si>
  <si>
    <t>.</t>
  </si>
  <si>
    <t>domain</t>
  </si>
  <si>
    <t>Пусто</t>
  </si>
  <si>
    <t>a</t>
  </si>
  <si>
    <t>aa</t>
  </si>
  <si>
    <t>dmitrochenko.kirill.denisovich</t>
  </si>
  <si>
    <t>gmail</t>
  </si>
  <si>
    <t>com</t>
  </si>
  <si>
    <t>aaaaaaaaaaaa</t>
  </si>
  <si>
    <t>@@</t>
  </si>
  <si>
    <t>..</t>
  </si>
  <si>
    <t>a@a.aa --- Нормальная работа приложения</t>
  </si>
  <si>
    <t>dmitrochenko.kirill.denisovich@gmail.com нормальная работа приложения</t>
  </si>
  <si>
    <t>Нормальная работа приложения</t>
  </si>
  <si>
    <t>Сообщение об ошибке("Something wrong with your e-mail, dude!”)</t>
  </si>
  <si>
    <t>@a ---- сообщение об ошибке("Something wrong with your e-mail, dude!”)</t>
  </si>
  <si>
    <t>Предупреждение об ошибке("Something wrong with your e-mail, dude!””)</t>
  </si>
  <si>
    <t>Предупреждение об ошибке("Something wrong with your e-mail, dude!”)</t>
  </si>
  <si>
    <t>&gt;320 символов</t>
  </si>
  <si>
    <t>320 символов</t>
  </si>
  <si>
    <t>C1</t>
  </si>
  <si>
    <t>C2</t>
  </si>
  <si>
    <t>C3</t>
  </si>
  <si>
    <t>C4</t>
  </si>
  <si>
    <t>C5</t>
  </si>
  <si>
    <t>Сообщение об ошибке (“Something wrong with your date of birth, dude!”)</t>
  </si>
  <si>
    <t xml:space="preserve">       Date of Birth:</t>
  </si>
  <si>
    <t>Предупреждение об ошибке(“Something wrong with your date of birth, dude!”)</t>
  </si>
  <si>
    <t>15.15.2026</t>
  </si>
  <si>
    <t>01.1.2020</t>
  </si>
  <si>
    <t>031.12.2025</t>
  </si>
  <si>
    <t>B21</t>
  </si>
  <si>
    <t>B22</t>
  </si>
  <si>
    <t>B23</t>
  </si>
  <si>
    <t>B24</t>
  </si>
  <si>
    <t>B25</t>
  </si>
  <si>
    <t>512 КБ</t>
  </si>
  <si>
    <t>1 б</t>
  </si>
  <si>
    <t>0 б</t>
  </si>
  <si>
    <t>1МБ</t>
  </si>
  <si>
    <t>1.1 МБ</t>
  </si>
  <si>
    <t>Предупреждение об ошибке(“Awesome pic, but too big!”)</t>
  </si>
  <si>
    <t xml:space="preserve">       UserPic(размер):</t>
  </si>
  <si>
    <t xml:space="preserve">       UserPic(разрешение):</t>
  </si>
  <si>
    <t>0x0</t>
  </si>
  <si>
    <t>1x1</t>
  </si>
  <si>
    <t>512x512</t>
  </si>
  <si>
    <t>800x600</t>
  </si>
  <si>
    <t>801x601</t>
  </si>
  <si>
    <t>Промокод</t>
  </si>
  <si>
    <t>Сумма заказа</t>
  </si>
  <si>
    <t>Карта лояльности</t>
  </si>
  <si>
    <t>№</t>
  </si>
  <si>
    <r>
      <rPr>
        <sz val="11"/>
        <color theme="6" tint="0.39997558519241921"/>
        <rFont val="Aptos Narrow"/>
        <family val="2"/>
        <scheme val="minor"/>
      </rPr>
      <t>Есть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нет</t>
    </r>
  </si>
  <si>
    <r>
      <t xml:space="preserve">1. Если </t>
    </r>
    <r>
      <rPr>
        <b/>
        <sz val="11"/>
        <color theme="9"/>
        <rFont val="Aptos Narrow"/>
        <family val="2"/>
        <scheme val="minor"/>
      </rPr>
      <t>введен Промокод</t>
    </r>
    <r>
      <rPr>
        <sz val="11"/>
        <color theme="1"/>
        <rFont val="Aptos Narrow"/>
        <family val="2"/>
        <charset val="204"/>
        <scheme val="minor"/>
      </rPr>
      <t xml:space="preserve">, то всегда предоставляется скидка 20% (независимо от других условий).     2. Если </t>
    </r>
    <r>
      <rPr>
        <b/>
        <sz val="11"/>
        <color rgb="FFFF0000"/>
        <rFont val="Aptos Narrow"/>
        <family val="2"/>
        <scheme val="minor"/>
      </rPr>
      <t>Промокода нет</t>
    </r>
    <r>
      <rPr>
        <sz val="11"/>
        <color theme="1"/>
        <rFont val="Aptos Narrow"/>
        <family val="2"/>
        <charset val="204"/>
        <scheme val="minor"/>
      </rPr>
      <t>, но</t>
    </r>
    <r>
      <rPr>
        <sz val="11"/>
        <color rgb="FF0000CC"/>
        <rFont val="Aptos Narrow"/>
        <family val="2"/>
        <scheme val="minor"/>
      </rPr>
      <t xml:space="preserve"> </t>
    </r>
    <r>
      <rPr>
        <b/>
        <sz val="11"/>
        <color theme="4" tint="0.39997558519241921"/>
        <rFont val="Aptos Narrow"/>
        <family val="2"/>
        <scheme val="minor"/>
      </rPr>
      <t>Сумма заказа &gt; 5000 руб</t>
    </r>
    <r>
      <rPr>
        <sz val="11"/>
        <color theme="1"/>
        <rFont val="Aptos Narrow"/>
        <family val="2"/>
        <charset val="204"/>
        <scheme val="minor"/>
      </rPr>
      <t xml:space="preserve">. и </t>
    </r>
    <r>
      <rPr>
        <b/>
        <sz val="11"/>
        <color rgb="FFFFC000"/>
        <rFont val="Aptos Narrow"/>
        <family val="2"/>
        <scheme val="minor"/>
      </rPr>
      <t>есть Карта лояльности</t>
    </r>
    <r>
      <rPr>
        <b/>
        <sz val="11"/>
        <color theme="1"/>
        <rFont val="Aptos Narrow"/>
        <family val="2"/>
        <scheme val="minor"/>
      </rPr>
      <t>,</t>
    </r>
    <r>
      <rPr>
        <sz val="11"/>
        <color theme="1"/>
        <rFont val="Aptos Narrow"/>
        <family val="2"/>
        <charset val="204"/>
        <scheme val="minor"/>
      </rPr>
      <t xml:space="preserve"> то скидка 10%.                  3. Если </t>
    </r>
    <r>
      <rPr>
        <b/>
        <sz val="11"/>
        <color rgb="FFFF0000"/>
        <rFont val="Aptos Narrow"/>
        <family val="2"/>
        <scheme val="minor"/>
      </rPr>
      <t>Промокода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нет</t>
    </r>
    <r>
      <rPr>
        <sz val="11"/>
        <color theme="1"/>
        <rFont val="Aptos Narrow"/>
        <family val="2"/>
        <charset val="204"/>
        <scheme val="minor"/>
      </rPr>
      <t>, и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4" tint="0.39997558519241921"/>
        <rFont val="Aptos Narrow"/>
        <family val="2"/>
        <scheme val="minor"/>
      </rPr>
      <t>Сумма заказа &gt; 5000 руб.</t>
    </r>
    <r>
      <rPr>
        <sz val="11"/>
        <color theme="1"/>
        <rFont val="Aptos Narrow"/>
        <family val="2"/>
        <charset val="204"/>
        <scheme val="minor"/>
      </rPr>
      <t xml:space="preserve">, но </t>
    </r>
    <r>
      <rPr>
        <b/>
        <sz val="11"/>
        <color rgb="FFFF05D5"/>
        <rFont val="Aptos Narrow"/>
        <family val="2"/>
        <scheme val="minor"/>
      </rPr>
      <t>Карты лояльности нет</t>
    </r>
    <r>
      <rPr>
        <sz val="11"/>
        <color theme="1"/>
        <rFont val="Aptos Narrow"/>
        <family val="2"/>
        <charset val="204"/>
        <scheme val="minor"/>
      </rPr>
      <t xml:space="preserve">, то скидка 5%.                     4. Если </t>
    </r>
    <r>
      <rPr>
        <b/>
        <sz val="11"/>
        <color rgb="FFFF0000"/>
        <rFont val="Aptos Narrow"/>
        <family val="2"/>
        <scheme val="minor"/>
      </rPr>
      <t>Промокода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нет</t>
    </r>
    <r>
      <rPr>
        <sz val="11"/>
        <color theme="1"/>
        <rFont val="Aptos Narrow"/>
        <family val="2"/>
        <charset val="204"/>
        <scheme val="minor"/>
      </rPr>
      <t xml:space="preserve"> и</t>
    </r>
    <r>
      <rPr>
        <sz val="11"/>
        <color rgb="FF0000CC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Сумма заказа ≤ 5000 руб.</t>
    </r>
    <r>
      <rPr>
        <sz val="11"/>
        <color theme="1"/>
        <rFont val="Aptos Narrow"/>
        <family val="2"/>
        <charset val="204"/>
        <scheme val="minor"/>
      </rPr>
      <t>, то скидка 0% (независимо от наличия карты).</t>
    </r>
  </si>
  <si>
    <r>
      <rPr>
        <sz val="11"/>
        <color rgb="FF7030A0"/>
        <rFont val="Aptos Narrow"/>
        <family val="2"/>
        <scheme val="minor"/>
      </rPr>
      <t xml:space="preserve">&lt;=5000,   </t>
    </r>
    <r>
      <rPr>
        <sz val="11"/>
        <color theme="1"/>
        <rFont val="Aptos Narrow"/>
        <family val="2"/>
        <charset val="204"/>
        <scheme val="minor"/>
      </rPr>
      <t xml:space="preserve">  </t>
    </r>
    <r>
      <rPr>
        <sz val="11"/>
        <color theme="4" tint="0.39997558519241921"/>
        <rFont val="Aptos Narrow"/>
        <family val="2"/>
        <scheme val="minor"/>
      </rPr>
      <t xml:space="preserve">   &gt;5000</t>
    </r>
  </si>
  <si>
    <r>
      <rPr>
        <b/>
        <sz val="11"/>
        <color theme="5" tint="0.39997558519241921"/>
        <rFont val="Aptos Narrow"/>
        <family val="2"/>
        <scheme val="minor"/>
      </rPr>
      <t>Есть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1"/>
        <color rgb="FFFF05D5"/>
        <rFont val="Aptos Narrow"/>
        <family val="2"/>
        <scheme val="minor"/>
      </rPr>
      <t>нет</t>
    </r>
  </si>
  <si>
    <t>Есть</t>
  </si>
  <si>
    <t>&gt;5000</t>
  </si>
  <si>
    <t xml:space="preserve">Есть </t>
  </si>
  <si>
    <t>&lt;=5000</t>
  </si>
  <si>
    <t>Нет</t>
  </si>
  <si>
    <t>Скидка</t>
  </si>
  <si>
    <t>-всего вариантов</t>
  </si>
  <si>
    <t>Вид транспорта</t>
  </si>
  <si>
    <t>Период</t>
  </si>
  <si>
    <t>Способ оплаты</t>
  </si>
  <si>
    <t>Картой</t>
  </si>
  <si>
    <t>Наличными</t>
  </si>
  <si>
    <t>-каждого способа оплаты</t>
  </si>
  <si>
    <t>-каждого периода</t>
  </si>
  <si>
    <t>-Каждого вида транспорта</t>
  </si>
  <si>
    <t>Автобус</t>
  </si>
  <si>
    <t>Троллейбус</t>
  </si>
  <si>
    <t>Метро</t>
  </si>
  <si>
    <t>Трамвай</t>
  </si>
  <si>
    <t>День</t>
  </si>
  <si>
    <t>Неделя</t>
  </si>
  <si>
    <t>Декада</t>
  </si>
  <si>
    <t>Месяц</t>
  </si>
  <si>
    <t xml:space="preserve">Автобус </t>
  </si>
  <si>
    <t xml:space="preserve">Трамвай </t>
  </si>
  <si>
    <t xml:space="preserve">Месяц </t>
  </si>
  <si>
    <t>Вид * Период</t>
  </si>
  <si>
    <t>Вид * Оплата</t>
  </si>
  <si>
    <t>Период* оплата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</si>
</sst>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  <font>
      <b/>
      <i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CC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color rgb="FFFF05D5"/>
      <name val="Aptos Narrow"/>
      <family val="2"/>
      <scheme val="minor"/>
    </font>
    <font>
      <b/>
      <sz val="11"/>
      <color rgb="FFFF05D5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0" fillId="0" borderId="4" xfId="0" quotePrefix="1" applyFill="1" applyBorder="1"/>
    <xf numFmtId="0" fontId="2" fillId="0" borderId="4" xfId="1" applyFill="1" applyBorder="1"/>
    <xf numFmtId="0" fontId="0" fillId="0" borderId="1" xfId="0" quotePrefix="1" applyBorder="1"/>
    <xf numFmtId="0" fontId="0" fillId="0" borderId="0" xfId="0" applyFill="1" applyBorder="1"/>
    <xf numFmtId="0" fontId="0" fillId="0" borderId="0" xfId="0" applyAlignment="1">
      <alignment vertical="center"/>
    </xf>
    <xf numFmtId="14" fontId="2" fillId="0" borderId="1" xfId="1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0" fillId="0" borderId="0" xfId="0" applyAlignment="1">
      <alignment wrapText="1"/>
    </xf>
    <xf numFmtId="0" fontId="0" fillId="2" borderId="1" xfId="0" applyFill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0" fillId="3" borderId="1" xfId="0" applyNumberFormat="1" applyFill="1" applyBorder="1"/>
    <xf numFmtId="0" fontId="0" fillId="0" borderId="0" xfId="0" quotePrefix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0" xfId="0" applyFill="1"/>
    <xf numFmtId="0" fontId="0" fillId="0" borderId="14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6" borderId="0" xfId="0" applyFill="1"/>
    <xf numFmtId="0" fontId="0" fillId="0" borderId="1" xfId="0" applyFill="1" applyBorder="1" applyAlignment="1">
      <alignment horizontal="center"/>
    </xf>
    <xf numFmtId="0" fontId="0" fillId="7" borderId="0" xfId="0" applyFill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FF05D5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273327</xdr:colOff>
      <xdr:row>9</xdr:row>
      <xdr:rowOff>82826</xdr:rowOff>
    </xdr:from>
    <xdr:to>
      <xdr:col>12</xdr:col>
      <xdr:colOff>604631</xdr:colOff>
      <xdr:row>18</xdr:row>
      <xdr:rowOff>7314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E4062B3-5070-FC02-8BBE-25C6C06B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06870" y="1755913"/>
          <a:ext cx="7777369" cy="2177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@a.by" TargetMode="External"/><Relationship Id="rId3" Type="http://schemas.openxmlformats.org/officeDocument/2006/relationships/hyperlink" Target="mailto:a@a.aa%20---%20&#1053;&#1086;&#1088;&#1084;&#1072;&#1083;&#1100;&#1085;&#1072;&#1103;%20&#1088;&#1072;&#1073;&#1086;&#1090;&#1072;%20&#1087;&#1088;&#1080;&#1083;&#1086;&#1078;&#1077;&#1085;&#1080;&#1103;" TargetMode="External"/><Relationship Id="rId7" Type="http://schemas.openxmlformats.org/officeDocument/2006/relationships/hyperlink" Target="mailto:dmitrochenko.kirill.denisovich@gmail.com" TargetMode="External"/><Relationship Id="rId2" Type="http://schemas.openxmlformats.org/officeDocument/2006/relationships/hyperlink" Target="mailto:dmitrochenko.kirill.denisovich@gmail.com" TargetMode="External"/><Relationship Id="rId1" Type="http://schemas.openxmlformats.org/officeDocument/2006/relationships/hyperlink" Target="mailto:a@a.by" TargetMode="External"/><Relationship Id="rId6" Type="http://schemas.openxmlformats.org/officeDocument/2006/relationships/hyperlink" Target="mailto:dmitrochenko.kirill.denisovich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a@a.by" TargetMode="External"/><Relationship Id="rId10" Type="http://schemas.openxmlformats.org/officeDocument/2006/relationships/hyperlink" Target="mailto:a@a.by" TargetMode="External"/><Relationship Id="rId4" Type="http://schemas.openxmlformats.org/officeDocument/2006/relationships/hyperlink" Target="mailto:dmitrochenko.kirill.denisovich@gmail.com%20&#1085;&#1086;&#1088;&#1084;&#1072;&#1083;&#1100;&#1085;&#1072;&#1103;%20&#1088;&#1072;&#1073;&#1086;&#1090;&#1072;%20&#1087;&#1088;&#1080;&#1083;&#1086;&#1078;&#1077;&#1085;&#1080;&#1103;" TargetMode="External"/><Relationship Id="rId9" Type="http://schemas.openxmlformats.org/officeDocument/2006/relationships/hyperlink" Target="mailto:dmitrochenko.kirill.denisovi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DAED-95D2-49F9-A116-C00412AD7FFE}">
  <dimension ref="B1:W38"/>
  <sheetViews>
    <sheetView topLeftCell="A15" zoomScale="82" workbookViewId="0">
      <selection activeCell="N6" sqref="N6:O6"/>
    </sheetView>
  </sheetViews>
  <sheetFormatPr defaultRowHeight="14.4" x14ac:dyDescent="0.3"/>
  <cols>
    <col min="1" max="1" width="5.33203125" customWidth="1"/>
    <col min="2" max="2" width="10.88671875" customWidth="1"/>
    <col min="3" max="3" width="13.88671875" customWidth="1"/>
    <col min="4" max="4" width="106.88671875" customWidth="1"/>
    <col min="5" max="5" width="67.5546875" customWidth="1"/>
    <col min="10" max="10" width="6.33203125" customWidth="1"/>
    <col min="12" max="12" width="75.44140625" customWidth="1"/>
    <col min="14" max="14" width="255.6640625" customWidth="1"/>
    <col min="15" max="15" width="34" customWidth="1"/>
    <col min="17" max="17" width="40.44140625" customWidth="1"/>
    <col min="18" max="18" width="129.109375" customWidth="1"/>
    <col min="19" max="19" width="118.5546875" customWidth="1"/>
    <col min="20" max="20" width="85.5546875" customWidth="1"/>
    <col min="22" max="22" width="39" customWidth="1"/>
    <col min="23" max="23" width="57" customWidth="1"/>
  </cols>
  <sheetData>
    <row r="1" spans="2:23" x14ac:dyDescent="0.3">
      <c r="E1" s="1"/>
      <c r="J1" s="41" t="s">
        <v>36</v>
      </c>
      <c r="K1" s="41"/>
      <c r="L1" s="41"/>
      <c r="M1" s="41"/>
      <c r="N1" s="4"/>
      <c r="O1" s="4"/>
    </row>
    <row r="2" spans="2:23" x14ac:dyDescent="0.3">
      <c r="B2" s="2" t="s">
        <v>0</v>
      </c>
      <c r="C2" s="2" t="s">
        <v>1</v>
      </c>
      <c r="D2" s="2" t="s">
        <v>2</v>
      </c>
      <c r="E2" s="2" t="s">
        <v>3</v>
      </c>
      <c r="J2" s="4"/>
      <c r="K2" s="4"/>
      <c r="L2" s="6" t="s">
        <v>45</v>
      </c>
      <c r="M2" s="6" t="s">
        <v>46</v>
      </c>
      <c r="N2" s="38" t="s">
        <v>47</v>
      </c>
      <c r="O2" s="38"/>
      <c r="P2" s="6" t="s">
        <v>48</v>
      </c>
      <c r="Q2" s="6" t="s">
        <v>49</v>
      </c>
    </row>
    <row r="3" spans="2:23" x14ac:dyDescent="0.3">
      <c r="B3" s="41" t="s">
        <v>18</v>
      </c>
      <c r="C3" s="41"/>
      <c r="D3" s="41"/>
      <c r="E3" s="41"/>
      <c r="J3" s="4" t="s">
        <v>68</v>
      </c>
      <c r="K3" s="4" t="s">
        <v>5</v>
      </c>
      <c r="L3" s="4" t="s">
        <v>50</v>
      </c>
      <c r="M3" s="4" t="s">
        <v>50</v>
      </c>
      <c r="N3" s="37" t="s">
        <v>50</v>
      </c>
      <c r="O3" s="37"/>
      <c r="P3" s="4" t="s">
        <v>50</v>
      </c>
      <c r="Q3" s="4" t="s">
        <v>51</v>
      </c>
      <c r="R3" s="7" t="s">
        <v>63</v>
      </c>
    </row>
    <row r="4" spans="2:23" x14ac:dyDescent="0.3">
      <c r="B4" s="4" t="s">
        <v>4</v>
      </c>
      <c r="C4" s="4" t="s">
        <v>5</v>
      </c>
      <c r="D4" s="4" t="s">
        <v>16</v>
      </c>
      <c r="E4" s="4" t="s">
        <v>20</v>
      </c>
      <c r="J4" s="4" t="s">
        <v>69</v>
      </c>
      <c r="K4" s="4" t="s">
        <v>7</v>
      </c>
      <c r="L4" s="5" t="s">
        <v>51</v>
      </c>
      <c r="M4" s="4" t="s">
        <v>46</v>
      </c>
      <c r="N4" s="37" t="s">
        <v>51</v>
      </c>
      <c r="O4" s="37"/>
      <c r="P4" s="4" t="s">
        <v>48</v>
      </c>
      <c r="Q4" s="4" t="s">
        <v>52</v>
      </c>
      <c r="R4" s="8" t="s">
        <v>59</v>
      </c>
    </row>
    <row r="5" spans="2:23" x14ac:dyDescent="0.3">
      <c r="B5" s="4" t="s">
        <v>6</v>
      </c>
      <c r="C5" s="4" t="s">
        <v>7</v>
      </c>
      <c r="D5" s="4" t="s">
        <v>14</v>
      </c>
      <c r="E5" s="4" t="s">
        <v>15</v>
      </c>
      <c r="J5" s="4" t="s">
        <v>70</v>
      </c>
      <c r="K5" s="4" t="s">
        <v>9</v>
      </c>
      <c r="L5" s="5" t="s">
        <v>53</v>
      </c>
      <c r="M5" s="4" t="s">
        <v>46</v>
      </c>
      <c r="N5" s="37" t="s">
        <v>54</v>
      </c>
      <c r="O5" s="37"/>
      <c r="P5" s="4" t="s">
        <v>48</v>
      </c>
      <c r="Q5" s="4" t="s">
        <v>55</v>
      </c>
      <c r="R5" s="8" t="s">
        <v>60</v>
      </c>
    </row>
    <row r="6" spans="2:23" x14ac:dyDescent="0.3">
      <c r="B6" s="4" t="s">
        <v>8</v>
      </c>
      <c r="C6" s="4" t="s">
        <v>9</v>
      </c>
      <c r="D6" s="4" t="s">
        <v>17</v>
      </c>
      <c r="E6" s="4" t="s">
        <v>15</v>
      </c>
      <c r="J6" s="4" t="s">
        <v>71</v>
      </c>
      <c r="K6" s="4" t="s">
        <v>11</v>
      </c>
      <c r="L6" s="4" t="str">
        <f>REPT("A",64)</f>
        <v>AAAAAAAAAAAAAAAAAAAAAAAAAAAAAAAAAAAAAAAAAAAAAAAAAAAAAAAAAAAAAAAA</v>
      </c>
      <c r="M6" s="4" t="s">
        <v>46</v>
      </c>
      <c r="N6" s="37" t="str">
        <f>REPT("A",243)</f>
        <v>AAAAAAAAAAAAAAAAAAAAAAAAAAAAAAAAAAAAAAAAAAAAAAAAAAAAAAAAAAAAAAAAAAAAAAAAAAAAAAAAAAAAAAAAAAAAAAAAAAAAAAAAAAAAAAAAAAAAAAAAAAAAAAAAAAAAAAAAAAAAAAAAAAAAAAAAAAAAAAAAAAAAAAAAAAAAAAAAAAAAAAAAAAAAAAAAAAAAAAAAAAAAAAAAAAAAAAAAAAAAAAAAAAAAAAAAAAAAAAAAAAA</v>
      </c>
      <c r="O6" s="37"/>
      <c r="P6" s="4" t="s">
        <v>48</v>
      </c>
      <c r="Q6" s="4" t="s">
        <v>56</v>
      </c>
      <c r="R6" s="39" t="str">
        <f>L6&amp;M6&amp;N6&amp;P6&amp;Q6</f>
        <v>AAAAAAAAAAAAAAAAAAAAAAAAAAAAAAAAAAAAAAAAAAAAAAAAAAAAAAAAAAAAAAAA@AAAAAAAAAAAAAAAAAAAAAAAAAAAAAAAAAAAAAAAAAAAAAAAAAAAAAAAAAAAAAAAAAAAAAAAAAAAAAAAAAAAAAAAAAAAAAAAAAAAAAAAAAAAAAAAAAAAAAAAAAAAAAAAAAAAAAAAAAAAAAAAAAAAAAAAAAAAAAAAAAAAAAAAAAAAAAAAAAAAAAAAAAAAAAAAAAAAAAAAAAAAAAAAAAAAAAAAAAAAAAAAAAAAAAAAAAAAAAAAAAAA.aaaaaaaaaaaa</v>
      </c>
      <c r="S6" s="40"/>
      <c r="T6" s="40"/>
      <c r="U6" s="40"/>
      <c r="V6" s="40"/>
      <c r="W6" s="10" t="s">
        <v>61</v>
      </c>
    </row>
    <row r="7" spans="2:23" ht="16.8" customHeight="1" x14ac:dyDescent="0.3">
      <c r="B7" s="4" t="s">
        <v>10</v>
      </c>
      <c r="C7" s="4" t="s">
        <v>11</v>
      </c>
      <c r="D7" s="4" t="str">
        <f>REPT("a",50)</f>
        <v>aaaaaaaaaaaaaaaaaaaaaaaaaaaaaaaaaaaaaaaaaaaaaaaaaa</v>
      </c>
      <c r="E7" s="4" t="s">
        <v>15</v>
      </c>
      <c r="J7" s="4" t="s">
        <v>72</v>
      </c>
      <c r="K7" s="4" t="s">
        <v>13</v>
      </c>
      <c r="L7" s="4" t="str">
        <f>L6&amp;"A"</f>
        <v>AAAAAAAAAAAAAAAAAAAAAAAAAAAAAAAAAAAAAAAAAAAAAAAAAAAAAAAAAAAAAAAAA</v>
      </c>
      <c r="M7" s="9" t="s">
        <v>57</v>
      </c>
      <c r="N7" s="37" t="str">
        <f>N6&amp;"A"</f>
        <v>AAAAAAAAAAAAAAAAAAAAAAAAAAAAAAAAAAAAAAAAAAAAAAAAAAAAAAAAAAAAAAAAAAAAAAAAAAAAAAAAAAAAAAAAAAAAAAAAAAAAAAAAAAAAAAAAAAAAAAAAAAAAAAAAAAAAAAAAAAAAAAAAAAAAAAAAAAAAAAAAAAAAAAAAAAAAAAAAAAAAAAAAAAAAAAAAAAAAAAAAAAAAAAAAAAAAAAAAAAAAAAAAAAAAAAAAAAAAAAAAAAAA</v>
      </c>
      <c r="O7" s="37"/>
      <c r="P7" s="4" t="s">
        <v>58</v>
      </c>
      <c r="Q7" s="4" t="str">
        <f>Q6&amp;"a"</f>
        <v>aaaaaaaaaaaaa</v>
      </c>
      <c r="R7" s="39" t="str">
        <f>L7&amp;M7&amp;N7&amp;P7&amp;Q7</f>
        <v>AAAAAAAAAAAAAAAAAAAAAAAAAAAAAAAAAAAAAAAAAAAAAAAAAAAAAAAAAAAAAAAAA@@AAAAAAAAAAAAAAAAAAAAAAAAAAAAAAAAAAAAAAAAAAAAAAAAAAAAAAAAAAAAAAAAAAAAAAAAAAAAAAAAAAAAAAAAAAAAAAAAAAAAAAAAAAAAAAAAAAAAAAAAAAAAAAAAAAAAAAAAAAAAAAAAAAAAAAAAAAAAAAAAAAAAAAAAAAAAAAAAAAAAAAAAAAAAAAAAAAAAAAAAAAAAAAAAAAAAAAAAAAAAAAAAAAAAAAAAAAAAAAAAAAAA..aaaaaaaaaaaaa</v>
      </c>
      <c r="S7" s="40"/>
      <c r="T7" s="40"/>
      <c r="U7" s="40"/>
      <c r="V7" s="40"/>
      <c r="W7" t="s">
        <v>62</v>
      </c>
    </row>
    <row r="8" spans="2:23" x14ac:dyDescent="0.3">
      <c r="B8" s="4" t="s">
        <v>12</v>
      </c>
      <c r="C8" s="4" t="s">
        <v>13</v>
      </c>
      <c r="D8" s="4" t="str">
        <f>REPT("a",51)</f>
        <v>aaaaaaaaaaaaaaaaaaaaaaaaaaaaaaaaaaaaaaaaaaaaaaaaaaa</v>
      </c>
      <c r="E8" s="4" t="s">
        <v>21</v>
      </c>
    </row>
    <row r="9" spans="2:23" x14ac:dyDescent="0.3">
      <c r="B9" s="41" t="s">
        <v>19</v>
      </c>
      <c r="C9" s="41"/>
      <c r="D9" s="41"/>
      <c r="E9" s="41"/>
    </row>
    <row r="10" spans="2:23" x14ac:dyDescent="0.3">
      <c r="B10" s="4" t="s">
        <v>26</v>
      </c>
      <c r="C10" s="4" t="s">
        <v>5</v>
      </c>
      <c r="D10" s="4" t="s">
        <v>23</v>
      </c>
      <c r="E10" s="4" t="s">
        <v>24</v>
      </c>
    </row>
    <row r="11" spans="2:23" x14ac:dyDescent="0.3">
      <c r="B11" s="4" t="s">
        <v>27</v>
      </c>
      <c r="C11" s="4" t="s">
        <v>7</v>
      </c>
      <c r="D11" s="4" t="s">
        <v>22</v>
      </c>
      <c r="E11" s="4" t="s">
        <v>15</v>
      </c>
    </row>
    <row r="12" spans="2:23" x14ac:dyDescent="0.3">
      <c r="B12" s="4" t="s">
        <v>28</v>
      </c>
      <c r="C12" s="4" t="s">
        <v>9</v>
      </c>
      <c r="D12" s="4" t="s">
        <v>25</v>
      </c>
      <c r="E12" s="4" t="s">
        <v>15</v>
      </c>
    </row>
    <row r="13" spans="2:23" ht="18" customHeight="1" x14ac:dyDescent="0.3">
      <c r="B13" s="4" t="s">
        <v>29</v>
      </c>
      <c r="C13" s="4" t="s">
        <v>11</v>
      </c>
      <c r="D13" s="4" t="str">
        <f>""""&amp;SUBSTITUTE(REPT(D12,3),"""","")&amp;""""</f>
        <v>"Qhuig67!!AQhuig67!!AQhuig67!!A"</v>
      </c>
      <c r="E13" s="4" t="s">
        <v>15</v>
      </c>
    </row>
    <row r="14" spans="2:23" ht="24" customHeight="1" x14ac:dyDescent="0.3">
      <c r="B14" s="4" t="s">
        <v>30</v>
      </c>
      <c r="C14" s="4" t="s">
        <v>13</v>
      </c>
      <c r="D14" s="4" t="str">
        <f>""""&amp;SUBSTITUTE(REPT(D12,3),"""","")&amp;"A"""</f>
        <v>"Qhuig67!!AQhuig67!!AQhuig67!!AA"</v>
      </c>
      <c r="E14" s="4" t="s">
        <v>21</v>
      </c>
      <c r="N14" s="11" t="s">
        <v>73</v>
      </c>
    </row>
    <row r="15" spans="2:23" ht="25.2" customHeight="1" x14ac:dyDescent="0.3">
      <c r="B15" s="41" t="s">
        <v>36</v>
      </c>
      <c r="C15" s="41"/>
      <c r="D15" s="41"/>
      <c r="E15" s="41"/>
      <c r="N15" s="11" t="s">
        <v>15</v>
      </c>
    </row>
    <row r="16" spans="2:23" ht="19.2" customHeight="1" x14ac:dyDescent="0.3">
      <c r="B16" s="4" t="s">
        <v>31</v>
      </c>
      <c r="C16" s="4" t="s">
        <v>5</v>
      </c>
      <c r="D16" s="4" t="s">
        <v>37</v>
      </c>
      <c r="E16" s="4" t="s">
        <v>64</v>
      </c>
      <c r="N16" s="11" t="s">
        <v>15</v>
      </c>
    </row>
    <row r="17" spans="2:14" ht="28.2" customHeight="1" x14ac:dyDescent="0.3">
      <c r="B17" s="4" t="s">
        <v>32</v>
      </c>
      <c r="C17" s="4" t="s">
        <v>7</v>
      </c>
      <c r="D17" s="5" t="s">
        <v>38</v>
      </c>
      <c r="E17" s="4" t="s">
        <v>15</v>
      </c>
      <c r="N17" s="11" t="s">
        <v>15</v>
      </c>
    </row>
    <row r="18" spans="2:14" ht="19.8" customHeight="1" x14ac:dyDescent="0.3">
      <c r="B18" s="4" t="s">
        <v>33</v>
      </c>
      <c r="C18" s="4" t="s">
        <v>9</v>
      </c>
      <c r="D18" s="5" t="s">
        <v>39</v>
      </c>
      <c r="E18" s="4" t="s">
        <v>15</v>
      </c>
      <c r="N18" s="11" t="s">
        <v>73</v>
      </c>
    </row>
    <row r="19" spans="2:14" x14ac:dyDescent="0.3">
      <c r="B19" s="4" t="s">
        <v>34</v>
      </c>
      <c r="C19" s="4" t="s">
        <v>11</v>
      </c>
      <c r="D19" s="4" t="s">
        <v>67</v>
      </c>
      <c r="E19" s="4" t="s">
        <v>15</v>
      </c>
      <c r="N19" s="11"/>
    </row>
    <row r="20" spans="2:14" x14ac:dyDescent="0.3">
      <c r="B20" s="4" t="s">
        <v>35</v>
      </c>
      <c r="C20" s="4" t="s">
        <v>13</v>
      </c>
      <c r="D20" s="4" t="s">
        <v>66</v>
      </c>
      <c r="E20" s="4" t="s">
        <v>65</v>
      </c>
      <c r="N20" s="11"/>
    </row>
    <row r="21" spans="2:14" x14ac:dyDescent="0.3">
      <c r="B21" s="41" t="s">
        <v>74</v>
      </c>
      <c r="C21" s="41"/>
      <c r="D21" s="41"/>
      <c r="E21" s="41"/>
    </row>
    <row r="22" spans="2:14" x14ac:dyDescent="0.3">
      <c r="B22" s="4" t="s">
        <v>40</v>
      </c>
      <c r="C22" s="4" t="s">
        <v>5</v>
      </c>
      <c r="D22" s="14" t="s">
        <v>77</v>
      </c>
      <c r="E22" s="4" t="s">
        <v>75</v>
      </c>
    </row>
    <row r="23" spans="2:14" x14ac:dyDescent="0.3">
      <c r="B23" s="4" t="s">
        <v>41</v>
      </c>
      <c r="C23" s="4" t="s">
        <v>7</v>
      </c>
      <c r="D23" s="12">
        <v>43831</v>
      </c>
      <c r="E23" s="4" t="s">
        <v>15</v>
      </c>
    </row>
    <row r="24" spans="2:14" x14ac:dyDescent="0.3">
      <c r="B24" s="4" t="s">
        <v>42</v>
      </c>
      <c r="C24" s="4" t="s">
        <v>9</v>
      </c>
      <c r="D24" s="5" t="s">
        <v>76</v>
      </c>
      <c r="E24" s="4" t="s">
        <v>15</v>
      </c>
    </row>
    <row r="25" spans="2:14" x14ac:dyDescent="0.3">
      <c r="B25" s="4" t="s">
        <v>43</v>
      </c>
      <c r="C25" s="4" t="s">
        <v>11</v>
      </c>
      <c r="D25" s="13">
        <v>45657</v>
      </c>
      <c r="E25" s="4" t="s">
        <v>15</v>
      </c>
    </row>
    <row r="26" spans="2:14" x14ac:dyDescent="0.3">
      <c r="B26" s="4" t="s">
        <v>44</v>
      </c>
      <c r="C26" s="4" t="s">
        <v>13</v>
      </c>
      <c r="D26" s="9" t="s">
        <v>78</v>
      </c>
      <c r="E26" s="4" t="s">
        <v>75</v>
      </c>
    </row>
    <row r="27" spans="2:14" x14ac:dyDescent="0.3">
      <c r="B27" s="41" t="s">
        <v>90</v>
      </c>
      <c r="C27" s="41"/>
      <c r="D27" s="41"/>
      <c r="E27" s="41"/>
    </row>
    <row r="28" spans="2:14" x14ac:dyDescent="0.3">
      <c r="B28" s="4" t="s">
        <v>79</v>
      </c>
      <c r="C28" s="4" t="s">
        <v>5</v>
      </c>
      <c r="D28" s="14" t="s">
        <v>86</v>
      </c>
      <c r="E28" s="4" t="s">
        <v>21</v>
      </c>
    </row>
    <row r="29" spans="2:14" x14ac:dyDescent="0.3">
      <c r="B29" s="4" t="s">
        <v>80</v>
      </c>
      <c r="C29" s="4" t="s">
        <v>7</v>
      </c>
      <c r="D29" s="12" t="s">
        <v>85</v>
      </c>
      <c r="E29" s="4" t="s">
        <v>15</v>
      </c>
    </row>
    <row r="30" spans="2:14" x14ac:dyDescent="0.3">
      <c r="B30" s="4" t="s">
        <v>81</v>
      </c>
      <c r="C30" s="4" t="s">
        <v>9</v>
      </c>
      <c r="D30" s="5" t="s">
        <v>84</v>
      </c>
      <c r="E30" s="4" t="s">
        <v>15</v>
      </c>
    </row>
    <row r="31" spans="2:14" x14ac:dyDescent="0.3">
      <c r="B31" s="4" t="s">
        <v>82</v>
      </c>
      <c r="C31" s="4" t="s">
        <v>11</v>
      </c>
      <c r="D31" s="13" t="s">
        <v>87</v>
      </c>
      <c r="E31" s="4" t="s">
        <v>15</v>
      </c>
    </row>
    <row r="32" spans="2:14" x14ac:dyDescent="0.3">
      <c r="B32" s="4" t="s">
        <v>83</v>
      </c>
      <c r="C32" s="4" t="s">
        <v>13</v>
      </c>
      <c r="D32" s="9" t="s">
        <v>88</v>
      </c>
      <c r="E32" s="4" t="s">
        <v>89</v>
      </c>
    </row>
    <row r="33" spans="2:5" x14ac:dyDescent="0.3">
      <c r="B33" s="41" t="s">
        <v>91</v>
      </c>
      <c r="C33" s="41"/>
      <c r="D33" s="41"/>
      <c r="E33" s="41"/>
    </row>
    <row r="34" spans="2:5" x14ac:dyDescent="0.3">
      <c r="B34" s="4" t="s">
        <v>79</v>
      </c>
      <c r="C34" s="4" t="s">
        <v>5</v>
      </c>
      <c r="D34" s="14" t="s">
        <v>92</v>
      </c>
      <c r="E34" s="4" t="s">
        <v>21</v>
      </c>
    </row>
    <row r="35" spans="2:5" x14ac:dyDescent="0.3">
      <c r="B35" s="4" t="s">
        <v>80</v>
      </c>
      <c r="C35" s="4" t="s">
        <v>7</v>
      </c>
      <c r="D35" s="12" t="s">
        <v>93</v>
      </c>
      <c r="E35" s="4" t="s">
        <v>15</v>
      </c>
    </row>
    <row r="36" spans="2:5" x14ac:dyDescent="0.3">
      <c r="B36" s="4" t="s">
        <v>81</v>
      </c>
      <c r="C36" s="4" t="s">
        <v>9</v>
      </c>
      <c r="D36" s="5" t="s">
        <v>94</v>
      </c>
      <c r="E36" s="4" t="s">
        <v>15</v>
      </c>
    </row>
    <row r="37" spans="2:5" x14ac:dyDescent="0.3">
      <c r="B37" s="4" t="s">
        <v>82</v>
      </c>
      <c r="C37" s="4" t="s">
        <v>11</v>
      </c>
      <c r="D37" s="13" t="s">
        <v>95</v>
      </c>
      <c r="E37" s="4" t="s">
        <v>15</v>
      </c>
    </row>
    <row r="38" spans="2:5" x14ac:dyDescent="0.3">
      <c r="B38" s="4" t="s">
        <v>83</v>
      </c>
      <c r="C38" s="4" t="s">
        <v>13</v>
      </c>
      <c r="D38" s="9" t="s">
        <v>96</v>
      </c>
      <c r="E38" s="4" t="s">
        <v>89</v>
      </c>
    </row>
  </sheetData>
  <mergeCells count="15">
    <mergeCell ref="B33:E33"/>
    <mergeCell ref="B3:E3"/>
    <mergeCell ref="B9:E9"/>
    <mergeCell ref="J1:M1"/>
    <mergeCell ref="B21:E21"/>
    <mergeCell ref="B15:E15"/>
    <mergeCell ref="N3:O3"/>
    <mergeCell ref="N2:O2"/>
    <mergeCell ref="R6:V6"/>
    <mergeCell ref="R7:V7"/>
    <mergeCell ref="B27:E27"/>
    <mergeCell ref="N7:O7"/>
    <mergeCell ref="N6:O6"/>
    <mergeCell ref="N5:O5"/>
    <mergeCell ref="N4:O4"/>
  </mergeCells>
  <hyperlinks>
    <hyperlink ref="D23" r:id="rId1" display="a@a.by" xr:uid="{0F67F52F-0F99-41E3-A50E-9FBAA1C1D895}"/>
    <hyperlink ref="D24" r:id="rId2" display="dmitrochenko.kirill.denisovich@gmail.com" xr:uid="{ED41E61F-7E10-4497-A189-64FB931589BD}"/>
    <hyperlink ref="R4" r:id="rId3" xr:uid="{C8364F84-EE2F-4D59-82D3-98FE360A0679}"/>
    <hyperlink ref="R5" r:id="rId4" xr:uid="{469B0A04-1EB1-499E-A2C5-A569A1D0C05E}"/>
    <hyperlink ref="D17" r:id="rId5" xr:uid="{3A8BE308-345D-437F-873F-52133F39B37A}"/>
    <hyperlink ref="D18" r:id="rId6" xr:uid="{DCC6FCB0-A28C-462D-9F84-F6E2D8A8849D}"/>
    <hyperlink ref="D30" r:id="rId7" display="dmitrochenko.kirill.denisovich@gmail.com" xr:uid="{19BD012B-692C-419D-9515-B1C4320158A8}"/>
    <hyperlink ref="D29" r:id="rId8" display="a@a.by" xr:uid="{9479AE4D-3824-4459-9B77-07B2D6AE8829}"/>
    <hyperlink ref="D36" r:id="rId9" display="dmitrochenko.kirill.denisovich@gmail.com" xr:uid="{15FEA33A-B3A5-4028-8C83-FDF205A928CC}"/>
    <hyperlink ref="D35" r:id="rId10" display="a@a.by" xr:uid="{BF1A97A9-70A0-4F00-A693-64E1313A6061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A530-9795-4300-8DCD-9FD552DF46BE}">
  <dimension ref="B1:G15"/>
  <sheetViews>
    <sheetView workbookViewId="0">
      <selection activeCell="B22" sqref="B22"/>
    </sheetView>
  </sheetViews>
  <sheetFormatPr defaultRowHeight="14.4" x14ac:dyDescent="0.3"/>
  <cols>
    <col min="2" max="2" width="85.77734375" customWidth="1"/>
    <col min="4" max="4" width="10.21875" customWidth="1"/>
    <col min="5" max="5" width="12.5546875" customWidth="1"/>
    <col min="6" max="6" width="16.5546875" customWidth="1"/>
  </cols>
  <sheetData>
    <row r="1" spans="2:7" ht="77.400000000000006" customHeight="1" x14ac:dyDescent="0.3">
      <c r="B1" s="15" t="s">
        <v>102</v>
      </c>
    </row>
    <row r="2" spans="2:7" x14ac:dyDescent="0.3">
      <c r="C2" s="42" t="s">
        <v>100</v>
      </c>
      <c r="D2" s="16" t="s">
        <v>97</v>
      </c>
      <c r="E2" s="16" t="s">
        <v>98</v>
      </c>
      <c r="F2" s="16" t="s">
        <v>99</v>
      </c>
    </row>
    <row r="3" spans="2:7" ht="47.4" customHeight="1" x14ac:dyDescent="0.3">
      <c r="C3" s="42"/>
      <c r="D3" s="17" t="s">
        <v>101</v>
      </c>
      <c r="E3" s="18" t="s">
        <v>103</v>
      </c>
      <c r="F3" s="17" t="s">
        <v>104</v>
      </c>
    </row>
    <row r="6" spans="2:7" x14ac:dyDescent="0.3">
      <c r="C6" s="42" t="s">
        <v>100</v>
      </c>
      <c r="D6" s="16" t="s">
        <v>97</v>
      </c>
      <c r="E6" s="16" t="s">
        <v>98</v>
      </c>
      <c r="F6" s="16" t="s">
        <v>99</v>
      </c>
      <c r="G6" s="43" t="s">
        <v>110</v>
      </c>
    </row>
    <row r="7" spans="2:7" ht="28.8" x14ac:dyDescent="0.3">
      <c r="C7" s="42"/>
      <c r="D7" s="17" t="s">
        <v>101</v>
      </c>
      <c r="E7" s="18" t="s">
        <v>103</v>
      </c>
      <c r="F7" s="17" t="s">
        <v>104</v>
      </c>
      <c r="G7" s="44"/>
    </row>
    <row r="8" spans="2:7" x14ac:dyDescent="0.3">
      <c r="C8" s="4">
        <v>1</v>
      </c>
      <c r="D8" s="4" t="s">
        <v>105</v>
      </c>
      <c r="E8" s="4" t="s">
        <v>106</v>
      </c>
      <c r="F8" s="4" t="s">
        <v>107</v>
      </c>
      <c r="G8" s="19">
        <v>0.2</v>
      </c>
    </row>
    <row r="9" spans="2:7" x14ac:dyDescent="0.3">
      <c r="C9" s="4">
        <v>2</v>
      </c>
      <c r="D9" s="4" t="s">
        <v>105</v>
      </c>
      <c r="E9" s="4" t="s">
        <v>106</v>
      </c>
      <c r="F9" s="4" t="s">
        <v>109</v>
      </c>
      <c r="G9" s="19">
        <v>0.2</v>
      </c>
    </row>
    <row r="10" spans="2:7" x14ac:dyDescent="0.3">
      <c r="C10" s="4">
        <v>3</v>
      </c>
      <c r="D10" s="4" t="s">
        <v>105</v>
      </c>
      <c r="E10" s="4" t="s">
        <v>108</v>
      </c>
      <c r="F10" s="4" t="s">
        <v>105</v>
      </c>
      <c r="G10" s="19">
        <v>0.2</v>
      </c>
    </row>
    <row r="11" spans="2:7" x14ac:dyDescent="0.3">
      <c r="C11" s="4">
        <v>4</v>
      </c>
      <c r="D11" s="4" t="s">
        <v>105</v>
      </c>
      <c r="E11" s="4" t="s">
        <v>108</v>
      </c>
      <c r="F11" s="4" t="s">
        <v>109</v>
      </c>
      <c r="G11" s="19">
        <v>0.2</v>
      </c>
    </row>
    <row r="12" spans="2:7" x14ac:dyDescent="0.3">
      <c r="C12" s="4">
        <v>5</v>
      </c>
      <c r="D12" s="4" t="s">
        <v>109</v>
      </c>
      <c r="E12" s="4" t="s">
        <v>106</v>
      </c>
      <c r="F12" s="4" t="s">
        <v>105</v>
      </c>
      <c r="G12" s="19">
        <v>0.1</v>
      </c>
    </row>
    <row r="13" spans="2:7" x14ac:dyDescent="0.3">
      <c r="C13" s="4">
        <v>6</v>
      </c>
      <c r="D13" s="4" t="s">
        <v>109</v>
      </c>
      <c r="E13" s="4" t="s">
        <v>106</v>
      </c>
      <c r="F13" s="4" t="s">
        <v>109</v>
      </c>
      <c r="G13" s="19">
        <v>0.05</v>
      </c>
    </row>
    <row r="14" spans="2:7" x14ac:dyDescent="0.3">
      <c r="C14" s="4">
        <v>7</v>
      </c>
      <c r="D14" s="4" t="s">
        <v>109</v>
      </c>
      <c r="E14" s="4" t="s">
        <v>108</v>
      </c>
      <c r="F14" s="4" t="s">
        <v>105</v>
      </c>
      <c r="G14" s="19">
        <v>0</v>
      </c>
    </row>
    <row r="15" spans="2:7" x14ac:dyDescent="0.3">
      <c r="C15" s="4">
        <v>8</v>
      </c>
      <c r="D15" s="4" t="s">
        <v>109</v>
      </c>
      <c r="E15" s="4" t="s">
        <v>108</v>
      </c>
      <c r="F15" s="4" t="s">
        <v>109</v>
      </c>
      <c r="G15" s="19">
        <v>0</v>
      </c>
    </row>
  </sheetData>
  <mergeCells count="3">
    <mergeCell ref="C2:C3"/>
    <mergeCell ref="C6:C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E29E-81F7-4A0B-9E41-893E7FF3EBFE}">
  <dimension ref="A1:M34"/>
  <sheetViews>
    <sheetView tabSelected="1" zoomScale="137" workbookViewId="0">
      <selection activeCell="D9" sqref="D9"/>
    </sheetView>
  </sheetViews>
  <sheetFormatPr defaultRowHeight="14.4" x14ac:dyDescent="0.3"/>
  <cols>
    <col min="2" max="2" width="15.33203125" customWidth="1"/>
    <col min="3" max="3" width="17.44140625" customWidth="1"/>
    <col min="4" max="4" width="17.6640625" customWidth="1"/>
    <col min="5" max="5" width="15.44140625" customWidth="1"/>
    <col min="8" max="8" width="14.5546875" customWidth="1"/>
    <col min="10" max="10" width="14.21875" bestFit="1" customWidth="1"/>
    <col min="13" max="13" width="16.109375" customWidth="1"/>
  </cols>
  <sheetData>
    <row r="1" spans="1:13" ht="15" thickBot="1" x14ac:dyDescent="0.35">
      <c r="A1">
        <f>4*4*2</f>
        <v>32</v>
      </c>
      <c r="B1" s="20" t="s">
        <v>111</v>
      </c>
    </row>
    <row r="2" spans="1:13" x14ac:dyDescent="0.3">
      <c r="B2" s="21" t="s">
        <v>100</v>
      </c>
      <c r="C2" s="22" t="s">
        <v>112</v>
      </c>
      <c r="D2" s="22" t="s">
        <v>113</v>
      </c>
      <c r="E2" s="23" t="s">
        <v>114</v>
      </c>
      <c r="G2">
        <f>32/2</f>
        <v>16</v>
      </c>
      <c r="H2" s="20" t="s">
        <v>117</v>
      </c>
    </row>
    <row r="3" spans="1:13" x14ac:dyDescent="0.3">
      <c r="B3" s="24">
        <v>1</v>
      </c>
      <c r="C3" s="4" t="s">
        <v>120</v>
      </c>
      <c r="D3" s="4" t="s">
        <v>124</v>
      </c>
      <c r="E3" s="25" t="s">
        <v>115</v>
      </c>
      <c r="G3">
        <f>32/4</f>
        <v>8</v>
      </c>
      <c r="H3" s="20" t="s">
        <v>118</v>
      </c>
    </row>
    <row r="4" spans="1:13" x14ac:dyDescent="0.3">
      <c r="B4" s="24">
        <v>2</v>
      </c>
      <c r="C4" s="4" t="s">
        <v>120</v>
      </c>
      <c r="D4" s="4" t="s">
        <v>124</v>
      </c>
      <c r="E4" s="25" t="s">
        <v>115</v>
      </c>
      <c r="G4">
        <f>32/4</f>
        <v>8</v>
      </c>
      <c r="H4" s="20" t="s">
        <v>119</v>
      </c>
    </row>
    <row r="5" spans="1:13" x14ac:dyDescent="0.3">
      <c r="B5" s="24">
        <v>3</v>
      </c>
      <c r="C5" s="4" t="s">
        <v>120</v>
      </c>
      <c r="D5" s="4" t="s">
        <v>124</v>
      </c>
      <c r="E5" s="25" t="s">
        <v>115</v>
      </c>
    </row>
    <row r="6" spans="1:13" x14ac:dyDescent="0.3">
      <c r="B6" s="24">
        <v>4</v>
      </c>
      <c r="C6" s="4" t="s">
        <v>120</v>
      </c>
      <c r="D6" s="4" t="s">
        <v>124</v>
      </c>
      <c r="E6" s="25" t="s">
        <v>115</v>
      </c>
      <c r="H6" s="29" t="s">
        <v>112</v>
      </c>
      <c r="I6" s="29" t="s">
        <v>113</v>
      </c>
      <c r="J6" s="29" t="s">
        <v>114</v>
      </c>
    </row>
    <row r="7" spans="1:13" x14ac:dyDescent="0.3">
      <c r="B7" s="24">
        <v>5</v>
      </c>
      <c r="C7" s="4" t="s">
        <v>120</v>
      </c>
      <c r="D7" s="4" t="s">
        <v>124</v>
      </c>
      <c r="E7" s="25" t="s">
        <v>115</v>
      </c>
      <c r="H7" s="3" t="s">
        <v>128</v>
      </c>
      <c r="I7" s="3" t="s">
        <v>124</v>
      </c>
      <c r="J7" s="3" t="s">
        <v>115</v>
      </c>
    </row>
    <row r="8" spans="1:13" x14ac:dyDescent="0.3">
      <c r="B8" s="24">
        <v>6</v>
      </c>
      <c r="C8" s="4" t="s">
        <v>120</v>
      </c>
      <c r="D8" s="4" t="s">
        <v>124</v>
      </c>
      <c r="E8" s="25" t="s">
        <v>115</v>
      </c>
      <c r="H8" s="3" t="s">
        <v>121</v>
      </c>
      <c r="I8" s="3" t="s">
        <v>125</v>
      </c>
      <c r="J8" s="3" t="s">
        <v>116</v>
      </c>
    </row>
    <row r="9" spans="1:13" x14ac:dyDescent="0.3">
      <c r="B9" s="24">
        <v>7</v>
      </c>
      <c r="C9" s="4" t="s">
        <v>120</v>
      </c>
      <c r="D9" s="4" t="s">
        <v>124</v>
      </c>
      <c r="E9" s="25" t="s">
        <v>115</v>
      </c>
      <c r="H9" s="3" t="s">
        <v>122</v>
      </c>
      <c r="I9" s="3" t="s">
        <v>126</v>
      </c>
      <c r="J9" s="3"/>
    </row>
    <row r="10" spans="1:13" ht="15" thickBot="1" x14ac:dyDescent="0.35">
      <c r="B10" s="24">
        <v>8</v>
      </c>
      <c r="C10" s="4" t="s">
        <v>120</v>
      </c>
      <c r="D10" s="4" t="s">
        <v>124</v>
      </c>
      <c r="E10" s="25" t="s">
        <v>115</v>
      </c>
      <c r="H10" s="30" t="s">
        <v>123</v>
      </c>
      <c r="I10" s="30" t="s">
        <v>127</v>
      </c>
      <c r="J10" s="30"/>
    </row>
    <row r="11" spans="1:13" x14ac:dyDescent="0.3">
      <c r="B11" s="24">
        <v>9</v>
      </c>
      <c r="C11" s="4" t="s">
        <v>121</v>
      </c>
      <c r="D11" s="4" t="s">
        <v>125</v>
      </c>
      <c r="E11" s="25" t="s">
        <v>115</v>
      </c>
      <c r="H11" s="31">
        <v>4</v>
      </c>
      <c r="I11" s="32">
        <v>4</v>
      </c>
      <c r="J11" s="33">
        <v>2</v>
      </c>
    </row>
    <row r="12" spans="1:13" x14ac:dyDescent="0.3">
      <c r="B12" s="24">
        <v>10</v>
      </c>
      <c r="C12" s="4" t="s">
        <v>121</v>
      </c>
      <c r="D12" s="4" t="s">
        <v>125</v>
      </c>
      <c r="E12" s="25" t="s">
        <v>115</v>
      </c>
      <c r="H12" s="4"/>
      <c r="I12" s="4"/>
      <c r="J12" s="4"/>
    </row>
    <row r="13" spans="1:13" x14ac:dyDescent="0.3">
      <c r="B13" s="24">
        <v>11</v>
      </c>
      <c r="C13" s="4" t="s">
        <v>121</v>
      </c>
      <c r="D13" s="4" t="s">
        <v>125</v>
      </c>
      <c r="E13" s="25" t="s">
        <v>115</v>
      </c>
      <c r="H13" s="35" t="s">
        <v>120</v>
      </c>
      <c r="I13" s="35" t="s">
        <v>124</v>
      </c>
      <c r="J13" s="4" t="s">
        <v>115</v>
      </c>
      <c r="M13" s="36" t="s">
        <v>131</v>
      </c>
    </row>
    <row r="14" spans="1:13" x14ac:dyDescent="0.3">
      <c r="B14" s="24">
        <v>12</v>
      </c>
      <c r="C14" s="4" t="s">
        <v>121</v>
      </c>
      <c r="D14" s="4" t="s">
        <v>125</v>
      </c>
      <c r="E14" s="25" t="s">
        <v>115</v>
      </c>
      <c r="H14" s="35" t="s">
        <v>120</v>
      </c>
      <c r="I14" s="35" t="s">
        <v>125</v>
      </c>
      <c r="J14" s="4" t="s">
        <v>116</v>
      </c>
      <c r="M14" s="34" t="s">
        <v>132</v>
      </c>
    </row>
    <row r="15" spans="1:13" x14ac:dyDescent="0.3">
      <c r="B15" s="24">
        <v>13</v>
      </c>
      <c r="C15" s="4" t="s">
        <v>121</v>
      </c>
      <c r="D15" s="4" t="s">
        <v>125</v>
      </c>
      <c r="E15" s="25" t="s">
        <v>115</v>
      </c>
      <c r="H15" s="35"/>
      <c r="I15" s="4"/>
      <c r="J15" s="4"/>
      <c r="M15" s="34" t="s">
        <v>133</v>
      </c>
    </row>
    <row r="16" spans="1:13" x14ac:dyDescent="0.3">
      <c r="B16" s="24">
        <v>14</v>
      </c>
      <c r="C16" s="4" t="s">
        <v>121</v>
      </c>
      <c r="D16" s="4" t="s">
        <v>125</v>
      </c>
      <c r="E16" s="25" t="s">
        <v>115</v>
      </c>
      <c r="H16" s="35" t="s">
        <v>121</v>
      </c>
      <c r="I16" s="4" t="s">
        <v>125</v>
      </c>
      <c r="J16" s="4" t="s">
        <v>115</v>
      </c>
    </row>
    <row r="17" spans="2:10" x14ac:dyDescent="0.3">
      <c r="B17" s="24">
        <v>15</v>
      </c>
      <c r="C17" s="4" t="s">
        <v>121</v>
      </c>
      <c r="D17" s="4" t="s">
        <v>125</v>
      </c>
      <c r="E17" s="25" t="s">
        <v>115</v>
      </c>
      <c r="H17" s="35" t="s">
        <v>121</v>
      </c>
      <c r="I17" s="4" t="s">
        <v>124</v>
      </c>
      <c r="J17" s="4" t="s">
        <v>116</v>
      </c>
    </row>
    <row r="18" spans="2:10" x14ac:dyDescent="0.3">
      <c r="B18" s="24">
        <v>16</v>
      </c>
      <c r="C18" s="4" t="s">
        <v>121</v>
      </c>
      <c r="D18" s="4" t="s">
        <v>125</v>
      </c>
      <c r="E18" s="25" t="s">
        <v>115</v>
      </c>
      <c r="H18" s="4"/>
      <c r="I18" s="4"/>
      <c r="J18" s="4"/>
    </row>
    <row r="19" spans="2:10" x14ac:dyDescent="0.3">
      <c r="B19" s="24">
        <v>17</v>
      </c>
      <c r="C19" s="4" t="s">
        <v>122</v>
      </c>
      <c r="D19" s="4" t="s">
        <v>126</v>
      </c>
      <c r="E19" s="25" t="s">
        <v>116</v>
      </c>
      <c r="H19" s="35" t="s">
        <v>122</v>
      </c>
      <c r="I19" s="4" t="s">
        <v>127</v>
      </c>
      <c r="J19" s="4" t="s">
        <v>115</v>
      </c>
    </row>
    <row r="20" spans="2:10" x14ac:dyDescent="0.3">
      <c r="B20" s="24">
        <v>18</v>
      </c>
      <c r="C20" s="4" t="s">
        <v>122</v>
      </c>
      <c r="D20" s="4" t="s">
        <v>126</v>
      </c>
      <c r="E20" s="25" t="s">
        <v>116</v>
      </c>
      <c r="H20" s="35" t="s">
        <v>122</v>
      </c>
      <c r="I20" s="4" t="s">
        <v>126</v>
      </c>
      <c r="J20" s="4" t="s">
        <v>116</v>
      </c>
    </row>
    <row r="21" spans="2:10" x14ac:dyDescent="0.3">
      <c r="B21" s="24">
        <v>19</v>
      </c>
      <c r="C21" s="4" t="s">
        <v>122</v>
      </c>
      <c r="D21" s="4" t="s">
        <v>126</v>
      </c>
      <c r="E21" s="25" t="s">
        <v>116</v>
      </c>
      <c r="H21" s="4"/>
      <c r="I21" s="4"/>
      <c r="J21" s="4"/>
    </row>
    <row r="22" spans="2:10" x14ac:dyDescent="0.3">
      <c r="B22" s="24">
        <v>20</v>
      </c>
      <c r="C22" s="4" t="s">
        <v>122</v>
      </c>
      <c r="D22" s="4" t="s">
        <v>126</v>
      </c>
      <c r="E22" s="25" t="s">
        <v>116</v>
      </c>
      <c r="H22" s="35" t="s">
        <v>129</v>
      </c>
      <c r="I22" s="4" t="s">
        <v>126</v>
      </c>
      <c r="J22" s="4" t="s">
        <v>115</v>
      </c>
    </row>
    <row r="23" spans="2:10" x14ac:dyDescent="0.3">
      <c r="B23" s="24">
        <v>21</v>
      </c>
      <c r="C23" s="4" t="s">
        <v>122</v>
      </c>
      <c r="D23" s="4" t="s">
        <v>126</v>
      </c>
      <c r="E23" s="25" t="s">
        <v>116</v>
      </c>
      <c r="H23" s="35" t="s">
        <v>129</v>
      </c>
      <c r="I23" s="4" t="s">
        <v>130</v>
      </c>
      <c r="J23" s="4" t="s">
        <v>116</v>
      </c>
    </row>
    <row r="24" spans="2:10" x14ac:dyDescent="0.3">
      <c r="B24" s="24">
        <v>22</v>
      </c>
      <c r="C24" s="4" t="s">
        <v>122</v>
      </c>
      <c r="D24" s="4" t="s">
        <v>126</v>
      </c>
      <c r="E24" s="25" t="s">
        <v>116</v>
      </c>
    </row>
    <row r="25" spans="2:10" x14ac:dyDescent="0.3">
      <c r="B25" s="24">
        <v>23</v>
      </c>
      <c r="C25" s="4" t="s">
        <v>122</v>
      </c>
      <c r="D25" s="4" t="s">
        <v>126</v>
      </c>
      <c r="E25" s="25" t="s">
        <v>116</v>
      </c>
    </row>
    <row r="26" spans="2:10" x14ac:dyDescent="0.3">
      <c r="B26" s="24">
        <v>24</v>
      </c>
      <c r="C26" s="4" t="s">
        <v>122</v>
      </c>
      <c r="D26" s="4" t="s">
        <v>126</v>
      </c>
      <c r="E26" s="25" t="s">
        <v>116</v>
      </c>
    </row>
    <row r="27" spans="2:10" x14ac:dyDescent="0.3">
      <c r="B27" s="24">
        <v>25</v>
      </c>
      <c r="C27" s="4" t="s">
        <v>123</v>
      </c>
      <c r="D27" s="4" t="s">
        <v>127</v>
      </c>
      <c r="E27" s="25" t="s">
        <v>116</v>
      </c>
    </row>
    <row r="28" spans="2:10" x14ac:dyDescent="0.3">
      <c r="B28" s="24">
        <v>26</v>
      </c>
      <c r="C28" s="4" t="s">
        <v>123</v>
      </c>
      <c r="D28" s="4" t="s">
        <v>127</v>
      </c>
      <c r="E28" s="25" t="s">
        <v>116</v>
      </c>
    </row>
    <row r="29" spans="2:10" x14ac:dyDescent="0.3">
      <c r="B29" s="24">
        <v>27</v>
      </c>
      <c r="C29" s="4" t="s">
        <v>123</v>
      </c>
      <c r="D29" s="4" t="s">
        <v>127</v>
      </c>
      <c r="E29" s="25" t="s">
        <v>116</v>
      </c>
    </row>
    <row r="30" spans="2:10" x14ac:dyDescent="0.3">
      <c r="B30" s="24">
        <v>28</v>
      </c>
      <c r="C30" s="4" t="s">
        <v>123</v>
      </c>
      <c r="D30" s="4" t="s">
        <v>127</v>
      </c>
      <c r="E30" s="25" t="s">
        <v>116</v>
      </c>
    </row>
    <row r="31" spans="2:10" x14ac:dyDescent="0.3">
      <c r="B31" s="24">
        <v>29</v>
      </c>
      <c r="C31" s="4" t="s">
        <v>123</v>
      </c>
      <c r="D31" s="4" t="s">
        <v>127</v>
      </c>
      <c r="E31" s="25" t="s">
        <v>116</v>
      </c>
    </row>
    <row r="32" spans="2:10" x14ac:dyDescent="0.3">
      <c r="B32" s="24">
        <v>30</v>
      </c>
      <c r="C32" s="4" t="s">
        <v>123</v>
      </c>
      <c r="D32" s="4" t="s">
        <v>127</v>
      </c>
      <c r="E32" s="25" t="s">
        <v>116</v>
      </c>
    </row>
    <row r="33" spans="2:5" x14ac:dyDescent="0.3">
      <c r="B33" s="24">
        <v>31</v>
      </c>
      <c r="C33" s="4" t="s">
        <v>123</v>
      </c>
      <c r="D33" s="4" t="s">
        <v>127</v>
      </c>
      <c r="E33" s="25" t="s">
        <v>116</v>
      </c>
    </row>
    <row r="34" spans="2:5" ht="15" thickBot="1" x14ac:dyDescent="0.35">
      <c r="B34" s="26">
        <v>32</v>
      </c>
      <c r="C34" s="27" t="s">
        <v>123</v>
      </c>
      <c r="D34" s="27" t="s">
        <v>127</v>
      </c>
      <c r="E34" s="2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Граничные значения</vt:lpstr>
      <vt:lpstr>Таблица решений</vt:lpstr>
      <vt:lpstr>Попарное тестирование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2026-03-23T07:08:25Z</dcterms:created>
  <dcterms:modified xsi:type="dcterms:W3CDTF">2026-03-31T10:35:41Z</dcterms:modified>
</cp:coreProperties>
</file>