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Udalit\Лабы\Экономіка\"/>
    </mc:Choice>
  </mc:AlternateContent>
  <bookViews>
    <workbookView xWindow="-105" yWindow="-105" windowWidth="23250" windowHeight="13170" activeTab="3"/>
  </bookViews>
  <sheets>
    <sheet name="Лист1" sheetId="1" r:id="rId1"/>
    <sheet name="Лист2" sheetId="2" r:id="rId2"/>
    <sheet name="Лист3" sheetId="3" r:id="rId3"/>
    <sheet name="Лист4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9" i="4"/>
  <c r="P22" i="3"/>
  <c r="B19" i="4"/>
  <c r="B11" i="4"/>
  <c r="B10" i="4"/>
  <c r="B24" i="4"/>
  <c r="B23" i="4"/>
  <c r="B22" i="4"/>
  <c r="P21" i="3"/>
  <c r="D36" i="3"/>
  <c r="D37" i="3"/>
  <c r="P9" i="3"/>
  <c r="P20" i="3"/>
  <c r="P8" i="3"/>
  <c r="P18" i="3"/>
  <c r="M24" i="3"/>
  <c r="P10" i="3"/>
  <c r="P7" i="3"/>
  <c r="P6" i="3"/>
  <c r="P16" i="3"/>
  <c r="P15" i="3"/>
  <c r="D35" i="3"/>
  <c r="E37" i="3"/>
  <c r="P14" i="3"/>
  <c r="P13" i="3"/>
  <c r="P19" i="3"/>
  <c r="P12" i="3"/>
  <c r="M21" i="3"/>
  <c r="M20" i="3"/>
  <c r="M26" i="3"/>
  <c r="M25" i="3"/>
  <c r="M22" i="3" l="1"/>
  <c r="C19" i="2"/>
  <c r="C18" i="2"/>
  <c r="C16" i="2"/>
  <c r="C21" i="2"/>
  <c r="H5" i="1"/>
  <c r="L5" i="1" s="1"/>
  <c r="L12" i="1" s="1"/>
  <c r="P12" i="1" s="1"/>
  <c r="E5" i="1"/>
  <c r="C13" i="2"/>
  <c r="L6" i="1"/>
  <c r="L7" i="1"/>
  <c r="L8" i="1"/>
  <c r="L9" i="1"/>
  <c r="L10" i="1"/>
  <c r="L11" i="1"/>
  <c r="K12" i="1"/>
  <c r="K6" i="1"/>
  <c r="K7" i="1"/>
  <c r="K8" i="1"/>
  <c r="K9" i="1"/>
  <c r="K10" i="1"/>
  <c r="K11" i="1"/>
  <c r="K5" i="1"/>
  <c r="F12" i="1"/>
  <c r="C12" i="1"/>
  <c r="J12" i="1"/>
  <c r="I12" i="1"/>
  <c r="I6" i="1"/>
  <c r="I7" i="1"/>
  <c r="I8" i="1"/>
  <c r="I9" i="1"/>
  <c r="I10" i="1"/>
  <c r="I11" i="1"/>
  <c r="I5" i="1"/>
  <c r="B12" i="1"/>
  <c r="H6" i="1"/>
  <c r="H7" i="1"/>
  <c r="H8" i="1"/>
  <c r="H9" i="1"/>
  <c r="H10" i="1"/>
  <c r="H11" i="1"/>
  <c r="E8" i="1"/>
  <c r="E7" i="1"/>
  <c r="E6" i="1"/>
  <c r="E9" i="1"/>
  <c r="E10" i="1"/>
  <c r="E11" i="1"/>
  <c r="J6" i="1"/>
  <c r="J7" i="1"/>
  <c r="J8" i="1"/>
  <c r="J9" i="1"/>
  <c r="J10" i="1"/>
  <c r="J11" i="1"/>
  <c r="J5" i="1"/>
  <c r="C22" i="2" l="1"/>
  <c r="M12" i="1"/>
  <c r="N12" i="1"/>
  <c r="O12" i="1"/>
</calcChain>
</file>

<file path=xl/sharedStrings.xml><?xml version="1.0" encoding="utf-8"?>
<sst xmlns="http://schemas.openxmlformats.org/spreadsheetml/2006/main" count="132" uniqueCount="98">
  <si>
    <t>Задача 2 вариант</t>
  </si>
  <si>
    <t>Группы ОС / тыс.руб.</t>
  </si>
  <si>
    <t>ОСн.г.</t>
  </si>
  <si>
    <t>Стоимость ОСвведенных</t>
  </si>
  <si>
    <t>Дата ввода ОС</t>
  </si>
  <si>
    <t>Месяцы работы вводимых ОС</t>
  </si>
  <si>
    <t>Стоимость ОСвыведенных</t>
  </si>
  <si>
    <t>Дата вывода ОС</t>
  </si>
  <si>
    <t>Месяцы работы выводимых ОС</t>
  </si>
  <si>
    <t>Структура на н.г., %</t>
  </si>
  <si>
    <t>ОСк.г.</t>
  </si>
  <si>
    <t>Структура на к.г., %</t>
  </si>
  <si>
    <t>ОСср.г.</t>
  </si>
  <si>
    <t>Кобн (по ОСср.г.)</t>
  </si>
  <si>
    <t>Квыб (по ОСср.г.)</t>
  </si>
  <si>
    <t>Доля акт части, % (по ОСср.г.)</t>
  </si>
  <si>
    <t>Доля пассивной части, % (по ОСср.г)</t>
  </si>
  <si>
    <t>Здания</t>
  </si>
  <si>
    <t>Сооружения</t>
  </si>
  <si>
    <t>Машины и оборудование</t>
  </si>
  <si>
    <t>Инструменты</t>
  </si>
  <si>
    <t>Хоз. инвентарь</t>
  </si>
  <si>
    <t>Транспортные средства</t>
  </si>
  <si>
    <t>Прочие ОФ</t>
  </si>
  <si>
    <t>Итого</t>
  </si>
  <si>
    <t>Рассчитать среднегодовую стоимость производственных основных средств и среднюю норму амортизации за отчетный период</t>
  </si>
  <si>
    <t>Задача</t>
  </si>
  <si>
    <t>Показатели</t>
  </si>
  <si>
    <t>Варианты</t>
  </si>
  <si>
    <t>Стоимость ОС на начало года, тыс. руб., в т.ч.</t>
  </si>
  <si>
    <t>непроизводственные ОС</t>
  </si>
  <si>
    <t>неустановленные ОС</t>
  </si>
  <si>
    <t>ОС в запасе</t>
  </si>
  <si>
    <t>полностью самортизированные ОС</t>
  </si>
  <si>
    <t>Введенные , руб.</t>
  </si>
  <si>
    <t>Дата ввода</t>
  </si>
  <si>
    <t>Месяцы работы</t>
  </si>
  <si>
    <t>Выведенные ОС, руб.</t>
  </si>
  <si>
    <t>Дата вывода</t>
  </si>
  <si>
    <t>Начислено амортизационных отчислений за год, тыс. руб.</t>
  </si>
  <si>
    <t>Среднегодовая стоимость ОПС, тыс. руб.</t>
  </si>
  <si>
    <t>Средняя норма амортизации, %</t>
  </si>
  <si>
    <t>Средний фактический срок эксплуатации, лет</t>
  </si>
  <si>
    <t>Начисленный износ (АО) за период эксплуатации</t>
  </si>
  <si>
    <t>Коэффициент износа</t>
  </si>
  <si>
    <t>Проанализировать изменение уровня использования ОС (темпы изменения плановых обобщающих показателей к отчетному году)</t>
  </si>
  <si>
    <t>Задание</t>
  </si>
  <si>
    <t xml:space="preserve">Таблица 1 Показатели </t>
  </si>
  <si>
    <t>Отчетный год</t>
  </si>
  <si>
    <t>Объем произодства продукции, шт.</t>
  </si>
  <si>
    <t>А</t>
  </si>
  <si>
    <t>Б</t>
  </si>
  <si>
    <t>В</t>
  </si>
  <si>
    <t>Цена продукции, руб./шт.</t>
  </si>
  <si>
    <t>Себестоимость продукции, руб./шт.</t>
  </si>
  <si>
    <t>Среднегодовая стоимость ОС, тыс. руб.</t>
  </si>
  <si>
    <t>в т.ч. здания, сооружения, инвентарь</t>
  </si>
  <si>
    <t>Численность работников, чел.</t>
  </si>
  <si>
    <t>Плановый год</t>
  </si>
  <si>
    <t>Рост среднегодовой стоимости ОС, %</t>
  </si>
  <si>
    <t>в т.ч. здания, сооружения, инвентарь, %</t>
  </si>
  <si>
    <t>Сокращение численности работников, %</t>
  </si>
  <si>
    <t>Таблица 2</t>
  </si>
  <si>
    <t>Изменение ФО, %</t>
  </si>
  <si>
    <t>Изменение ФЕ, %</t>
  </si>
  <si>
    <t>Изменение ФВ, %</t>
  </si>
  <si>
    <t>Изменение ТФВ, %</t>
  </si>
  <si>
    <t>Изменение Rос, %</t>
  </si>
  <si>
    <t>отчет</t>
  </si>
  <si>
    <t>ФО, руб.</t>
  </si>
  <si>
    <t>ФЕ, руб.</t>
  </si>
  <si>
    <t>ФВ,руб.</t>
  </si>
  <si>
    <t>ТВ, руб.</t>
  </si>
  <si>
    <t>Р, %</t>
  </si>
  <si>
    <t>план</t>
  </si>
  <si>
    <t>ПП=</t>
  </si>
  <si>
    <t>Потрачено</t>
  </si>
  <si>
    <t>Прібыль</t>
  </si>
  <si>
    <t>План</t>
  </si>
  <si>
    <t>отчёт</t>
  </si>
  <si>
    <t>Рассчитать показатели использования Оборотных средств (ОбС)</t>
  </si>
  <si>
    <t>Задача 1</t>
  </si>
  <si>
    <t>Длительность оборота оборотных средств факт, дни</t>
  </si>
  <si>
    <t>Длительность оборота оборотных средств план, дни</t>
  </si>
  <si>
    <t>Средний остаток ОбС за период, тыс. руб.</t>
  </si>
  <si>
    <t>Число дней в периодне, дни</t>
  </si>
  <si>
    <t>Реализованная продукция факт, тыс. руб.</t>
  </si>
  <si>
    <t>Реализованная продукция план, тыс. руб.</t>
  </si>
  <si>
    <t>Прирост реализованной продукции, тыс. руб.</t>
  </si>
  <si>
    <t>Задача 2</t>
  </si>
  <si>
    <t>Реализованная продукция, тыс. руб.</t>
  </si>
  <si>
    <t>Средний остаток ОбС за период факт, тыс. руб.</t>
  </si>
  <si>
    <t>Коэффициент оборачиваемости факт</t>
  </si>
  <si>
    <t>Коэффициент оборачиваемости план</t>
  </si>
  <si>
    <t>Длительность одного оборота ОбС факт, дни</t>
  </si>
  <si>
    <t>Длительность одного оборота ОбСплан, дни</t>
  </si>
  <si>
    <t>Средний остаток ОбС за период план, тыс. руб.</t>
  </si>
  <si>
    <t>Размер высвобождаемых ОбС, тыс.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</si>
</sst>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Calibri"/>
      <family val="2"/>
      <charset val="204"/>
      <scheme val="minor"/>
    </font>
    <font>
      <b/>
      <i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1" fillId="0" borderId="0" xfId="1"/>
    <xf numFmtId="0" fontId="2" fillId="3" borderId="0" xfId="1" applyFont="1" applyFill="1"/>
    <xf numFmtId="0" fontId="5" fillId="0" borderId="3" xfId="1" applyFont="1" applyBorder="1"/>
    <xf numFmtId="1" fontId="5" fillId="0" borderId="3" xfId="1" applyNumberFormat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16" fontId="5" fillId="0" borderId="3" xfId="1" applyNumberFormat="1" applyFont="1" applyBorder="1" applyAlignment="1">
      <alignment horizontal="center"/>
    </xf>
    <xf numFmtId="2" fontId="5" fillId="0" borderId="3" xfId="1" applyNumberFormat="1" applyFont="1" applyBorder="1" applyAlignment="1">
      <alignment horizontal="center"/>
    </xf>
    <xf numFmtId="0" fontId="5" fillId="4" borderId="3" xfId="1" applyFont="1" applyFill="1" applyBorder="1"/>
    <xf numFmtId="0" fontId="6" fillId="0" borderId="3" xfId="1" applyFont="1" applyBorder="1"/>
    <xf numFmtId="1" fontId="6" fillId="0" borderId="3" xfId="1" applyNumberFormat="1" applyFont="1" applyBorder="1" applyAlignment="1">
      <alignment horizontal="center"/>
    </xf>
    <xf numFmtId="2" fontId="6" fillId="0" borderId="3" xfId="1" applyNumberFormat="1" applyFont="1" applyBorder="1" applyAlignment="1">
      <alignment horizontal="center"/>
    </xf>
    <xf numFmtId="164" fontId="6" fillId="0" borderId="3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4" fillId="0" borderId="0" xfId="1" applyFont="1"/>
    <xf numFmtId="0" fontId="5" fillId="0" borderId="3" xfId="1" applyFont="1" applyBorder="1"/>
    <xf numFmtId="0" fontId="5" fillId="0" borderId="3" xfId="1" applyFont="1" applyBorder="1" applyAlignment="1">
      <alignment horizontal="center"/>
    </xf>
    <xf numFmtId="16" fontId="5" fillId="0" borderId="3" xfId="1" applyNumberFormat="1" applyFont="1" applyBorder="1" applyAlignment="1">
      <alignment horizontal="center"/>
    </xf>
    <xf numFmtId="0" fontId="6" fillId="0" borderId="3" xfId="1" applyFont="1" applyBorder="1"/>
    <xf numFmtId="0" fontId="3" fillId="0" borderId="0" xfId="1" applyFont="1"/>
    <xf numFmtId="0" fontId="7" fillId="0" borderId="0" xfId="1" applyFont="1"/>
    <xf numFmtId="0" fontId="5" fillId="0" borderId="0" xfId="1" applyFont="1"/>
    <xf numFmtId="0" fontId="8" fillId="2" borderId="3" xfId="1" applyFont="1" applyFill="1" applyBorder="1" applyAlignment="1">
      <alignment horizontal="center" vertical="top" wrapText="1"/>
    </xf>
    <xf numFmtId="0" fontId="5" fillId="0" borderId="3" xfId="1" applyFont="1" applyBorder="1" applyAlignment="1">
      <alignment horizontal="left"/>
    </xf>
    <xf numFmtId="0" fontId="5" fillId="0" borderId="3" xfId="1" applyFont="1" applyBorder="1" applyAlignment="1">
      <alignment horizontal="right"/>
    </xf>
    <xf numFmtId="0" fontId="10" fillId="3" borderId="3" xfId="1" applyFont="1" applyFill="1" applyBorder="1"/>
    <xf numFmtId="0" fontId="10" fillId="3" borderId="3" xfId="1" applyFont="1" applyFill="1" applyBorder="1" applyAlignment="1">
      <alignment horizontal="center"/>
    </xf>
    <xf numFmtId="0" fontId="5" fillId="0" borderId="3" xfId="1" applyFont="1" applyBorder="1" applyAlignment="1">
      <alignment wrapText="1"/>
    </xf>
    <xf numFmtId="0" fontId="6" fillId="3" borderId="3" xfId="1" applyFont="1" applyFill="1" applyBorder="1"/>
    <xf numFmtId="165" fontId="10" fillId="3" borderId="3" xfId="1" applyNumberFormat="1" applyFont="1" applyFill="1" applyBorder="1" applyAlignment="1">
      <alignment horizontal="center"/>
    </xf>
    <xf numFmtId="165" fontId="10" fillId="0" borderId="3" xfId="1" applyNumberFormat="1" applyFont="1" applyBorder="1" applyAlignment="1">
      <alignment horizontal="center"/>
    </xf>
    <xf numFmtId="0" fontId="2" fillId="3" borderId="3" xfId="1" applyFont="1" applyFill="1" applyBorder="1"/>
    <xf numFmtId="164" fontId="2" fillId="3" borderId="3" xfId="1" applyNumberFormat="1" applyFont="1" applyFill="1" applyBorder="1" applyAlignment="1">
      <alignment horizontal="center"/>
    </xf>
    <xf numFmtId="1" fontId="10" fillId="3" borderId="3" xfId="1" applyNumberFormat="1" applyFont="1" applyFill="1" applyBorder="1" applyAlignment="1">
      <alignment horizontal="center"/>
    </xf>
    <xf numFmtId="0" fontId="18" fillId="5" borderId="0" xfId="1" applyFont="1" applyFill="1"/>
    <xf numFmtId="0" fontId="1" fillId="0" borderId="0" xfId="1"/>
    <xf numFmtId="0" fontId="11" fillId="0" borderId="0" xfId="1" applyFont="1"/>
    <xf numFmtId="0" fontId="15" fillId="0" borderId="0" xfId="1" applyFont="1"/>
    <xf numFmtId="0" fontId="3" fillId="0" borderId="0" xfId="1" applyFont="1"/>
    <xf numFmtId="0" fontId="12" fillId="0" borderId="0" xfId="1" applyFont="1"/>
    <xf numFmtId="0" fontId="13" fillId="2" borderId="3" xfId="1" applyFont="1" applyFill="1" applyBorder="1" applyAlignment="1">
      <alignment horizontal="center" vertical="top" wrapText="1"/>
    </xf>
    <xf numFmtId="0" fontId="12" fillId="0" borderId="3" xfId="1" applyFont="1" applyBorder="1"/>
    <xf numFmtId="2" fontId="1" fillId="0" borderId="3" xfId="1" applyNumberFormat="1" applyBorder="1"/>
    <xf numFmtId="0" fontId="8" fillId="0" borderId="0" xfId="1" applyFont="1" applyFill="1" applyBorder="1" applyAlignment="1">
      <alignment horizontal="center" vertical="top" wrapText="1"/>
    </xf>
    <xf numFmtId="2" fontId="1" fillId="0" borderId="0" xfId="1" applyNumberFormat="1" applyFill="1" applyBorder="1"/>
    <xf numFmtId="0" fontId="17" fillId="3" borderId="4" xfId="1" applyFont="1" applyFill="1" applyBorder="1"/>
    <xf numFmtId="0" fontId="2" fillId="0" borderId="4" xfId="1" applyFont="1" applyBorder="1"/>
    <xf numFmtId="0" fontId="14" fillId="3" borderId="4" xfId="1" applyFont="1" applyFill="1" applyBorder="1"/>
    <xf numFmtId="0" fontId="8" fillId="3" borderId="5" xfId="1" applyFont="1" applyFill="1" applyBorder="1" applyAlignment="1">
      <alignment horizontal="center" vertical="top" wrapText="1"/>
    </xf>
    <xf numFmtId="2" fontId="5" fillId="2" borderId="1" xfId="1" applyNumberFormat="1" applyFont="1" applyFill="1" applyBorder="1" applyAlignment="1">
      <alignment horizontal="center" wrapText="1"/>
    </xf>
    <xf numFmtId="2" fontId="5" fillId="2" borderId="2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8" fillId="2" borderId="3" xfId="1" applyFont="1" applyFill="1" applyBorder="1" applyAlignment="1">
      <alignment horizontal="center" vertical="top" wrapText="1"/>
    </xf>
    <xf numFmtId="0" fontId="9" fillId="2" borderId="3" xfId="1" applyFont="1" applyFill="1" applyBorder="1" applyAlignment="1">
      <alignment horizontal="center" vertical="top" wrapText="1"/>
    </xf>
    <xf numFmtId="0" fontId="16" fillId="2" borderId="3" xfId="1" applyFont="1" applyFill="1" applyBorder="1" applyAlignment="1">
      <alignment horizontal="center" vertical="top" wrapText="1"/>
    </xf>
    <xf numFmtId="0" fontId="13" fillId="2" borderId="3" xfId="1" applyFont="1" applyFill="1" applyBorder="1" applyAlignment="1">
      <alignment horizontal="center" vertical="top" wrapText="1"/>
    </xf>
    <xf numFmtId="0" fontId="15" fillId="0" borderId="0" xfId="0" applyFont="1"/>
    <xf numFmtId="0" fontId="3" fillId="0" borderId="0" xfId="0" applyFont="1"/>
    <xf numFmtId="0" fontId="5" fillId="0" borderId="0" xfId="0" applyFont="1"/>
    <xf numFmtId="0" fontId="8" fillId="2" borderId="3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10" fillId="3" borderId="3" xfId="0" applyFont="1" applyFill="1" applyBorder="1"/>
    <xf numFmtId="165" fontId="10" fillId="3" borderId="3" xfId="0" applyNumberFormat="1" applyFont="1" applyFill="1" applyBorder="1" applyAlignment="1">
      <alignment horizontal="center"/>
    </xf>
    <xf numFmtId="0" fontId="6" fillId="3" borderId="3" xfId="0" applyFont="1" applyFill="1" applyBorder="1"/>
    <xf numFmtId="0" fontId="10" fillId="0" borderId="3" xfId="0" applyFont="1" applyFill="1" applyBorder="1"/>
    <xf numFmtId="165" fontId="10" fillId="0" borderId="3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opLeftCell="B1" workbookViewId="0">
      <selection activeCell="J6" sqref="J6"/>
    </sheetView>
  </sheetViews>
  <sheetFormatPr defaultRowHeight="15" x14ac:dyDescent="0.25"/>
  <cols>
    <col min="1" max="1" width="22.375" customWidth="1"/>
    <col min="3" max="3" width="12.875" customWidth="1"/>
    <col min="5" max="5" width="18.75" customWidth="1"/>
    <col min="6" max="6" width="17.375" customWidth="1"/>
    <col min="7" max="7" width="14.25" customWidth="1"/>
    <col min="8" max="8" width="14.75" customWidth="1"/>
    <col min="9" max="9" width="10.625" customWidth="1"/>
    <col min="13" max="13" width="9.5" customWidth="1"/>
    <col min="15" max="15" width="16.25" customWidth="1"/>
    <col min="16" max="16" width="19.75" customWidth="1"/>
  </cols>
  <sheetData>
    <row r="1" spans="1:16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45" customHeight="1" x14ac:dyDescent="0.25">
      <c r="A3" s="49" t="s">
        <v>1</v>
      </c>
      <c r="B3" s="49" t="s">
        <v>2</v>
      </c>
      <c r="C3" s="49" t="s">
        <v>3</v>
      </c>
      <c r="D3" s="49" t="s">
        <v>4</v>
      </c>
      <c r="E3" s="49" t="s">
        <v>5</v>
      </c>
      <c r="F3" s="49" t="s">
        <v>6</v>
      </c>
      <c r="G3" s="49" t="s">
        <v>7</v>
      </c>
      <c r="H3" s="49" t="s">
        <v>8</v>
      </c>
      <c r="I3" s="49" t="s">
        <v>9</v>
      </c>
      <c r="J3" s="49" t="s">
        <v>10</v>
      </c>
      <c r="K3" s="49" t="s">
        <v>11</v>
      </c>
      <c r="L3" s="49" t="s">
        <v>12</v>
      </c>
      <c r="M3" s="49" t="s">
        <v>13</v>
      </c>
      <c r="N3" s="49" t="s">
        <v>14</v>
      </c>
      <c r="O3" s="49" t="s">
        <v>15</v>
      </c>
      <c r="P3" s="49" t="s">
        <v>16</v>
      </c>
    </row>
    <row r="4" spans="1:16" x14ac:dyDescent="0.25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</row>
    <row r="5" spans="1:16" x14ac:dyDescent="0.25">
      <c r="A5" s="3" t="s">
        <v>17</v>
      </c>
      <c r="B5" s="5">
        <v>950</v>
      </c>
      <c r="C5" s="5">
        <v>0</v>
      </c>
      <c r="D5" s="5">
        <v>0</v>
      </c>
      <c r="E5" s="4">
        <f>12-MONTH(D5)+1</f>
        <v>12</v>
      </c>
      <c r="F5" s="5">
        <v>42</v>
      </c>
      <c r="G5" s="6">
        <v>44958</v>
      </c>
      <c r="H5" s="4">
        <f>MONTH(G5)</f>
        <v>2</v>
      </c>
      <c r="I5" s="7">
        <f>B5/$B$12*100</f>
        <v>17.887403502165316</v>
      </c>
      <c r="J5" s="4">
        <f>B5+C5-F5</f>
        <v>908</v>
      </c>
      <c r="K5" s="7">
        <f>J5/$J$12*100</f>
        <v>16.554238833181405</v>
      </c>
      <c r="L5" s="4">
        <f>B5+(C5*E5/12)-(F5*(12-H5)/12)</f>
        <v>915</v>
      </c>
      <c r="M5" s="8"/>
      <c r="N5" s="8"/>
      <c r="O5" s="8"/>
      <c r="P5" s="8"/>
    </row>
    <row r="6" spans="1:16" x14ac:dyDescent="0.25">
      <c r="A6" s="3" t="s">
        <v>18</v>
      </c>
      <c r="B6" s="5">
        <v>236</v>
      </c>
      <c r="C6" s="5">
        <v>13</v>
      </c>
      <c r="D6" s="6">
        <v>44986</v>
      </c>
      <c r="E6" s="4">
        <f>12-MONTH(D6)</f>
        <v>9</v>
      </c>
      <c r="F6" s="5">
        <v>30</v>
      </c>
      <c r="G6" s="6">
        <v>45139</v>
      </c>
      <c r="H6" s="4">
        <f t="shared" ref="H6:H11" si="0">MONTH(G6)</f>
        <v>8</v>
      </c>
      <c r="I6" s="7">
        <f t="shared" ref="I6:I11" si="1">B6/$B$12*100</f>
        <v>4.4436076068536998</v>
      </c>
      <c r="J6" s="4">
        <f t="shared" ref="J6:J11" si="2">B6+C6-F6</f>
        <v>219</v>
      </c>
      <c r="K6" s="7">
        <f t="shared" ref="K6:K11" si="3">J6/$J$12*100</f>
        <v>3.9927073837739289</v>
      </c>
      <c r="L6" s="4">
        <f t="shared" ref="L6:L11" si="4">B6+(C6*E6/12)-(F6*(12-H6)/12)</f>
        <v>235.75</v>
      </c>
      <c r="M6" s="8"/>
      <c r="N6" s="8"/>
      <c r="O6" s="8"/>
      <c r="P6" s="8"/>
    </row>
    <row r="7" spans="1:16" x14ac:dyDescent="0.25">
      <c r="A7" s="3" t="s">
        <v>19</v>
      </c>
      <c r="B7" s="5">
        <v>2700</v>
      </c>
      <c r="C7" s="5">
        <v>232</v>
      </c>
      <c r="D7" s="6">
        <v>45047</v>
      </c>
      <c r="E7" s="4">
        <f>12-MONTH(D7)+1</f>
        <v>8</v>
      </c>
      <c r="F7" s="5">
        <v>15</v>
      </c>
      <c r="G7" s="6">
        <v>45078</v>
      </c>
      <c r="H7" s="4">
        <f t="shared" si="0"/>
        <v>6</v>
      </c>
      <c r="I7" s="7">
        <f t="shared" si="1"/>
        <v>50.837883637733007</v>
      </c>
      <c r="J7" s="4">
        <f t="shared" si="2"/>
        <v>2917</v>
      </c>
      <c r="K7" s="7">
        <f t="shared" si="3"/>
        <v>53.181403828623516</v>
      </c>
      <c r="L7" s="4">
        <f t="shared" si="4"/>
        <v>2847.1666666666665</v>
      </c>
      <c r="M7" s="8"/>
      <c r="N7" s="8"/>
      <c r="O7" s="8"/>
      <c r="P7" s="8"/>
    </row>
    <row r="8" spans="1:16" x14ac:dyDescent="0.25">
      <c r="A8" s="3" t="s">
        <v>20</v>
      </c>
      <c r="B8" s="5">
        <v>630</v>
      </c>
      <c r="C8" s="5">
        <v>17</v>
      </c>
      <c r="D8" s="6">
        <v>45170</v>
      </c>
      <c r="E8" s="4">
        <f>12-MONTH(D8)+1</f>
        <v>4</v>
      </c>
      <c r="F8" s="5">
        <v>8</v>
      </c>
      <c r="G8" s="6">
        <v>45261</v>
      </c>
      <c r="H8" s="4">
        <f t="shared" si="0"/>
        <v>12</v>
      </c>
      <c r="I8" s="7">
        <f t="shared" si="1"/>
        <v>11.862172848804368</v>
      </c>
      <c r="J8" s="4">
        <f t="shared" si="2"/>
        <v>639</v>
      </c>
      <c r="K8" s="7">
        <f t="shared" si="3"/>
        <v>11.649954421148587</v>
      </c>
      <c r="L8" s="4">
        <f t="shared" si="4"/>
        <v>635.66666666666663</v>
      </c>
      <c r="M8" s="8"/>
      <c r="N8" s="8"/>
      <c r="O8" s="8"/>
      <c r="P8" s="8"/>
    </row>
    <row r="9" spans="1:16" x14ac:dyDescent="0.25">
      <c r="A9" s="3" t="s">
        <v>21</v>
      </c>
      <c r="B9" s="5">
        <v>225</v>
      </c>
      <c r="C9" s="5">
        <v>0</v>
      </c>
      <c r="D9" s="5">
        <v>0</v>
      </c>
      <c r="E9" s="4">
        <f t="shared" ref="E9:E11" si="5">12-MONTH(D9)+1</f>
        <v>12</v>
      </c>
      <c r="F9" s="5">
        <v>16</v>
      </c>
      <c r="G9" s="6">
        <v>44986</v>
      </c>
      <c r="H9" s="4">
        <f t="shared" si="0"/>
        <v>3</v>
      </c>
      <c r="I9" s="7">
        <f t="shared" si="1"/>
        <v>4.236490303144417</v>
      </c>
      <c r="J9" s="4">
        <f t="shared" si="2"/>
        <v>209</v>
      </c>
      <c r="K9" s="7">
        <f t="shared" si="3"/>
        <v>3.8103919781221509</v>
      </c>
      <c r="L9" s="4">
        <f t="shared" si="4"/>
        <v>213</v>
      </c>
      <c r="M9" s="8"/>
      <c r="N9" s="8"/>
      <c r="O9" s="8"/>
      <c r="P9" s="8"/>
    </row>
    <row r="10" spans="1:16" x14ac:dyDescent="0.25">
      <c r="A10" s="3" t="s">
        <v>22</v>
      </c>
      <c r="B10" s="5">
        <v>470</v>
      </c>
      <c r="C10" s="5">
        <v>28</v>
      </c>
      <c r="D10" s="6">
        <v>45078</v>
      </c>
      <c r="E10" s="4">
        <f t="shared" si="5"/>
        <v>7</v>
      </c>
      <c r="F10" s="5">
        <v>10</v>
      </c>
      <c r="G10" s="6">
        <v>45108</v>
      </c>
      <c r="H10" s="4">
        <f t="shared" si="0"/>
        <v>7</v>
      </c>
      <c r="I10" s="7">
        <f t="shared" si="1"/>
        <v>8.8495575221238933</v>
      </c>
      <c r="J10" s="4">
        <f t="shared" si="2"/>
        <v>488</v>
      </c>
      <c r="K10" s="7">
        <f t="shared" si="3"/>
        <v>8.8969917958067448</v>
      </c>
      <c r="L10" s="4">
        <f t="shared" si="4"/>
        <v>482.16666666666663</v>
      </c>
      <c r="M10" s="8"/>
      <c r="N10" s="8"/>
      <c r="O10" s="8"/>
      <c r="P10" s="8"/>
    </row>
    <row r="11" spans="1:16" x14ac:dyDescent="0.25">
      <c r="A11" s="3" t="s">
        <v>23</v>
      </c>
      <c r="B11" s="5">
        <v>100</v>
      </c>
      <c r="C11" s="5">
        <v>10</v>
      </c>
      <c r="D11" s="6">
        <v>45017</v>
      </c>
      <c r="E11" s="4">
        <f t="shared" si="5"/>
        <v>9</v>
      </c>
      <c r="F11" s="5">
        <v>5</v>
      </c>
      <c r="G11" s="6">
        <v>45200</v>
      </c>
      <c r="H11" s="4">
        <f t="shared" si="0"/>
        <v>10</v>
      </c>
      <c r="I11" s="7">
        <f t="shared" si="1"/>
        <v>1.8828845791752966</v>
      </c>
      <c r="J11" s="4">
        <f t="shared" si="2"/>
        <v>105</v>
      </c>
      <c r="K11" s="7">
        <f t="shared" si="3"/>
        <v>1.9143117593436645</v>
      </c>
      <c r="L11" s="4">
        <f t="shared" si="4"/>
        <v>106.66666666666667</v>
      </c>
      <c r="M11" s="8"/>
      <c r="N11" s="8"/>
      <c r="O11" s="8"/>
      <c r="P11" s="8"/>
    </row>
    <row r="12" spans="1:16" x14ac:dyDescent="0.25">
      <c r="A12" s="9" t="s">
        <v>24</v>
      </c>
      <c r="B12" s="13">
        <f>SUM(B5:B11)</f>
        <v>5311</v>
      </c>
      <c r="C12" s="13">
        <f>SUM(C5:C11)</f>
        <v>300</v>
      </c>
      <c r="D12" s="8"/>
      <c r="E12" s="8"/>
      <c r="F12" s="13">
        <f>SUM(F5:F11)</f>
        <v>126</v>
      </c>
      <c r="G12" s="8"/>
      <c r="H12" s="8"/>
      <c r="I12" s="11">
        <f>SUM(I5:I11)</f>
        <v>99.999999999999986</v>
      </c>
      <c r="J12" s="10">
        <f>SUM(J5:J11)</f>
        <v>5485</v>
      </c>
      <c r="K12" s="11">
        <f>SUM(K5:K11)</f>
        <v>100</v>
      </c>
      <c r="L12" s="10">
        <f>SUM(L5:L11)</f>
        <v>5435.416666666667</v>
      </c>
      <c r="M12" s="12">
        <f>C12/L12</f>
        <v>5.5193560751245686E-2</v>
      </c>
      <c r="N12" s="12">
        <f>F12/L12</f>
        <v>2.3181295515523188E-2</v>
      </c>
      <c r="O12" s="11">
        <f>(L5+L6+L11)/L12*100</f>
        <v>23.133767727098505</v>
      </c>
      <c r="P12" s="11">
        <f>(L7+L8+L10+L9)/L12*100</f>
        <v>76.866232272901485</v>
      </c>
    </row>
  </sheetData>
  <mergeCells count="17">
    <mergeCell ref="E3:E4"/>
    <mergeCell ref="F3:F4"/>
    <mergeCell ref="M3:M4"/>
    <mergeCell ref="N3:N4"/>
    <mergeCell ref="A1:P1"/>
    <mergeCell ref="O3:O4"/>
    <mergeCell ref="P3:P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7" zoomScale="109" workbookViewId="0">
      <selection activeCell="F17" sqref="F17"/>
    </sheetView>
  </sheetViews>
  <sheetFormatPr defaultRowHeight="15" x14ac:dyDescent="0.25"/>
  <cols>
    <col min="1" max="1" width="37.625" customWidth="1"/>
    <col min="3" max="3" width="9.5" bestFit="1" customWidth="1"/>
  </cols>
  <sheetData>
    <row r="1" spans="1:11" x14ac:dyDescent="0.25">
      <c r="B1" t="s">
        <v>25</v>
      </c>
    </row>
    <row r="2" spans="1:11" ht="15.75" x14ac:dyDescent="0.25">
      <c r="A2" s="14" t="s">
        <v>25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ht="15.75" x14ac:dyDescent="0.25">
      <c r="A3" s="19" t="s">
        <v>26</v>
      </c>
      <c r="B3" s="21"/>
      <c r="C3" s="34"/>
      <c r="D3" s="21"/>
      <c r="E3" s="21"/>
      <c r="F3" s="21"/>
      <c r="G3" s="21"/>
      <c r="H3" s="21"/>
      <c r="I3" s="21"/>
      <c r="J3" s="21"/>
      <c r="K3" s="21"/>
    </row>
    <row r="4" spans="1:11" x14ac:dyDescent="0.25">
      <c r="A4" s="52" t="s">
        <v>27</v>
      </c>
      <c r="B4" s="53" t="s">
        <v>28</v>
      </c>
      <c r="C4" s="53"/>
      <c r="D4" s="53"/>
      <c r="E4" s="53"/>
      <c r="F4" s="53"/>
      <c r="G4" s="53"/>
      <c r="H4" s="53"/>
      <c r="I4" s="53"/>
      <c r="J4" s="53"/>
      <c r="K4" s="53"/>
    </row>
    <row r="5" spans="1:11" x14ac:dyDescent="0.25">
      <c r="A5" s="52"/>
      <c r="B5" s="22"/>
      <c r="C5" s="22">
        <v>2</v>
      </c>
      <c r="D5" s="22"/>
      <c r="E5" s="22"/>
      <c r="F5" s="22"/>
      <c r="G5" s="22"/>
      <c r="H5" s="22"/>
      <c r="I5" s="22"/>
      <c r="J5" s="22"/>
      <c r="K5" s="22"/>
    </row>
    <row r="6" spans="1:11" x14ac:dyDescent="0.25">
      <c r="A6" s="23" t="s">
        <v>29</v>
      </c>
      <c r="B6" s="16"/>
      <c r="C6" s="16">
        <v>1320</v>
      </c>
      <c r="D6" s="16"/>
      <c r="E6" s="16"/>
      <c r="F6" s="16"/>
      <c r="G6" s="16"/>
      <c r="H6" s="16"/>
      <c r="I6" s="16"/>
      <c r="J6" s="16"/>
      <c r="K6" s="16"/>
    </row>
    <row r="7" spans="1:11" x14ac:dyDescent="0.25">
      <c r="A7" s="24" t="s">
        <v>30</v>
      </c>
      <c r="B7" s="16"/>
      <c r="C7" s="16">
        <v>8</v>
      </c>
      <c r="D7" s="16"/>
      <c r="E7" s="16"/>
      <c r="F7" s="16"/>
      <c r="G7" s="16"/>
      <c r="H7" s="16"/>
      <c r="I7" s="16"/>
      <c r="J7" s="16"/>
      <c r="K7" s="16"/>
    </row>
    <row r="8" spans="1:11" x14ac:dyDescent="0.25">
      <c r="A8" s="24" t="s">
        <v>31</v>
      </c>
      <c r="B8" s="16"/>
      <c r="C8" s="16">
        <v>14</v>
      </c>
      <c r="D8" s="16"/>
      <c r="E8" s="16"/>
      <c r="F8" s="16"/>
      <c r="G8" s="16"/>
      <c r="H8" s="16"/>
      <c r="I8" s="16"/>
      <c r="J8" s="16"/>
      <c r="K8" s="16"/>
    </row>
    <row r="9" spans="1:11" x14ac:dyDescent="0.25">
      <c r="A9" s="24" t="s">
        <v>32</v>
      </c>
      <c r="B9" s="16"/>
      <c r="C9" s="16">
        <v>11</v>
      </c>
      <c r="D9" s="16"/>
      <c r="E9" s="16"/>
      <c r="F9" s="16"/>
      <c r="G9" s="16"/>
      <c r="H9" s="16"/>
      <c r="I9" s="16"/>
      <c r="J9" s="16"/>
      <c r="K9" s="16"/>
    </row>
    <row r="10" spans="1:11" x14ac:dyDescent="0.25">
      <c r="A10" s="24" t="s">
        <v>33</v>
      </c>
      <c r="B10" s="16"/>
      <c r="C10" s="16">
        <v>16</v>
      </c>
      <c r="D10" s="16"/>
      <c r="E10" s="16"/>
      <c r="F10" s="16"/>
      <c r="G10" s="16"/>
      <c r="H10" s="16"/>
      <c r="I10" s="16"/>
      <c r="J10" s="16"/>
      <c r="K10" s="16"/>
    </row>
    <row r="11" spans="1:11" x14ac:dyDescent="0.25">
      <c r="A11" s="15" t="s">
        <v>34</v>
      </c>
      <c r="B11" s="16"/>
      <c r="C11" s="16">
        <v>222000</v>
      </c>
      <c r="D11" s="16"/>
      <c r="E11" s="16"/>
      <c r="F11" s="16"/>
      <c r="G11" s="16"/>
      <c r="H11" s="16"/>
      <c r="I11" s="16"/>
      <c r="J11" s="16"/>
      <c r="K11" s="16"/>
    </row>
    <row r="12" spans="1:11" x14ac:dyDescent="0.25">
      <c r="A12" s="15" t="s">
        <v>35</v>
      </c>
      <c r="B12" s="17"/>
      <c r="C12" s="17">
        <v>44958</v>
      </c>
      <c r="D12" s="17"/>
      <c r="E12" s="17"/>
      <c r="F12" s="17"/>
      <c r="G12" s="17"/>
      <c r="H12" s="17"/>
      <c r="I12" s="17"/>
      <c r="J12" s="17"/>
      <c r="K12" s="17"/>
    </row>
    <row r="13" spans="1:11" x14ac:dyDescent="0.25">
      <c r="A13" s="25" t="s">
        <v>36</v>
      </c>
      <c r="B13" s="33"/>
      <c r="C13" s="33">
        <f t="shared" ref="C13" si="0">12-MONTH(C12)+1</f>
        <v>11</v>
      </c>
      <c r="D13" s="33"/>
      <c r="E13" s="33"/>
      <c r="F13" s="33"/>
      <c r="G13" s="33"/>
      <c r="H13" s="33"/>
      <c r="I13" s="33"/>
      <c r="J13" s="33"/>
      <c r="K13" s="33"/>
    </row>
    <row r="14" spans="1:11" x14ac:dyDescent="0.25">
      <c r="A14" s="15" t="s">
        <v>37</v>
      </c>
      <c r="B14" s="16"/>
      <c r="C14" s="16">
        <v>780000</v>
      </c>
      <c r="D14" s="16"/>
      <c r="E14" s="16"/>
      <c r="F14" s="16"/>
      <c r="G14" s="16"/>
      <c r="H14" s="16"/>
      <c r="I14" s="16"/>
      <c r="J14" s="16"/>
      <c r="K14" s="16"/>
    </row>
    <row r="15" spans="1:11" x14ac:dyDescent="0.25">
      <c r="A15" s="15" t="s">
        <v>38</v>
      </c>
      <c r="B15" s="17"/>
      <c r="C15" s="17">
        <v>45122</v>
      </c>
      <c r="D15" s="17"/>
      <c r="E15" s="17"/>
      <c r="F15" s="17"/>
      <c r="G15" s="17"/>
      <c r="H15" s="17"/>
      <c r="I15" s="17"/>
      <c r="J15" s="17"/>
      <c r="K15" s="17"/>
    </row>
    <row r="16" spans="1:11" x14ac:dyDescent="0.25">
      <c r="A16" s="25" t="s">
        <v>36</v>
      </c>
      <c r="B16" s="26"/>
      <c r="C16" s="26">
        <f>6.5</f>
        <v>6.5</v>
      </c>
      <c r="D16" s="26"/>
      <c r="E16" s="26"/>
      <c r="F16" s="26"/>
      <c r="G16" s="26"/>
      <c r="H16" s="26"/>
      <c r="I16" s="26"/>
      <c r="J16" s="26"/>
      <c r="K16" s="26"/>
    </row>
    <row r="17" spans="1:11" ht="26.25" x14ac:dyDescent="0.25">
      <c r="A17" s="27" t="s">
        <v>39</v>
      </c>
      <c r="B17" s="16"/>
      <c r="C17" s="16">
        <v>155</v>
      </c>
      <c r="D17" s="16"/>
      <c r="E17" s="16"/>
      <c r="F17" s="16"/>
      <c r="G17" s="16"/>
      <c r="H17" s="16"/>
      <c r="I17" s="16"/>
      <c r="J17" s="16"/>
      <c r="K17" s="16"/>
    </row>
    <row r="18" spans="1:11" x14ac:dyDescent="0.25">
      <c r="A18" s="28" t="s">
        <v>40</v>
      </c>
      <c r="B18" s="29"/>
      <c r="C18" s="29">
        <f>((C6-C7-C8-C9-C10)*1000+C11*C13/12-C14*(12-C16)/12)/1000</f>
        <v>1117</v>
      </c>
      <c r="D18" s="29"/>
      <c r="E18" s="29"/>
      <c r="F18" s="29"/>
      <c r="G18" s="29"/>
      <c r="H18" s="29"/>
      <c r="I18" s="29"/>
      <c r="J18" s="29"/>
      <c r="K18" s="29"/>
    </row>
    <row r="19" spans="1:11" x14ac:dyDescent="0.25">
      <c r="A19" s="28" t="s">
        <v>41</v>
      </c>
      <c r="B19" s="29"/>
      <c r="C19" s="29">
        <f>(C17)/(C18)*100</f>
        <v>13.876454789615039</v>
      </c>
      <c r="D19" s="29"/>
      <c r="E19" s="29"/>
      <c r="F19" s="29"/>
      <c r="G19" s="29"/>
      <c r="H19" s="29"/>
      <c r="I19" s="29"/>
      <c r="J19" s="29"/>
      <c r="K19" s="29"/>
    </row>
    <row r="20" spans="1:11" x14ac:dyDescent="0.25">
      <c r="A20" s="18" t="s">
        <v>42</v>
      </c>
      <c r="B20" s="30"/>
      <c r="C20" s="30">
        <v>6</v>
      </c>
      <c r="D20" s="30"/>
      <c r="E20" s="30"/>
      <c r="F20" s="30"/>
      <c r="G20" s="30"/>
      <c r="H20" s="30"/>
      <c r="I20" s="30"/>
      <c r="J20" s="30"/>
      <c r="K20" s="30"/>
    </row>
    <row r="21" spans="1:11" x14ac:dyDescent="0.25">
      <c r="A21" s="28" t="s">
        <v>43</v>
      </c>
      <c r="B21" s="29"/>
      <c r="C21" s="29">
        <f>C17*C20</f>
        <v>930</v>
      </c>
      <c r="D21" s="29"/>
      <c r="E21" s="29"/>
      <c r="F21" s="29"/>
      <c r="G21" s="29"/>
      <c r="H21" s="29"/>
      <c r="I21" s="29"/>
      <c r="J21" s="29"/>
      <c r="K21" s="29"/>
    </row>
    <row r="22" spans="1:11" x14ac:dyDescent="0.25">
      <c r="A22" s="31" t="s">
        <v>44</v>
      </c>
      <c r="B22" s="32"/>
      <c r="C22" s="32">
        <f>C21/C18</f>
        <v>0.83258728737690246</v>
      </c>
      <c r="D22" s="32"/>
      <c r="E22" s="32"/>
      <c r="F22" s="32"/>
      <c r="G22" s="32"/>
      <c r="H22" s="32"/>
      <c r="I22" s="32"/>
      <c r="J22" s="32"/>
      <c r="K22" s="32"/>
    </row>
  </sheetData>
  <mergeCells count="2">
    <mergeCell ref="A4:A5"/>
    <mergeCell ref="B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opLeftCell="A13" zoomScale="85" zoomScaleNormal="85" workbookViewId="0">
      <selection activeCell="M26" sqref="M26"/>
    </sheetView>
  </sheetViews>
  <sheetFormatPr defaultRowHeight="15" x14ac:dyDescent="0.25"/>
  <cols>
    <col min="1" max="1" width="22.75" customWidth="1"/>
    <col min="15" max="15" width="28.5" customWidth="1"/>
    <col min="16" max="16" width="11.375" bestFit="1" customWidth="1"/>
  </cols>
  <sheetData>
    <row r="1" spans="1:17" ht="18.75" x14ac:dyDescent="0.3">
      <c r="A1" s="37" t="s">
        <v>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5"/>
      <c r="M1" s="35"/>
      <c r="N1" s="35"/>
    </row>
    <row r="3" spans="1:17" ht="15.75" x14ac:dyDescent="0.25">
      <c r="A3" s="38" t="s">
        <v>46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7" ht="15.75" thickBot="1" x14ac:dyDescent="0.3">
      <c r="A4" s="54" t="s">
        <v>47</v>
      </c>
      <c r="B4" s="55" t="s">
        <v>28</v>
      </c>
      <c r="C4" s="55"/>
      <c r="D4" s="55"/>
      <c r="E4" s="55"/>
      <c r="F4" s="55"/>
      <c r="G4" s="55"/>
      <c r="H4" s="55"/>
      <c r="I4" s="55"/>
      <c r="J4" s="55"/>
      <c r="K4" s="55"/>
    </row>
    <row r="5" spans="1:17" ht="35.450000000000003" customHeight="1" x14ac:dyDescent="0.3">
      <c r="A5" s="54"/>
      <c r="B5" s="40"/>
      <c r="C5" s="40">
        <v>2</v>
      </c>
      <c r="D5" s="40"/>
      <c r="E5" s="40"/>
      <c r="F5" s="40"/>
      <c r="G5" s="40"/>
      <c r="H5" s="40"/>
      <c r="I5" s="40"/>
      <c r="J5" s="40"/>
      <c r="K5" s="40"/>
      <c r="O5" s="45" t="s">
        <v>62</v>
      </c>
      <c r="P5" s="48">
        <v>2</v>
      </c>
      <c r="Q5" s="43"/>
    </row>
    <row r="6" spans="1:17" x14ac:dyDescent="0.25">
      <c r="A6" s="40" t="s">
        <v>48</v>
      </c>
      <c r="B6" s="40"/>
      <c r="C6" s="40"/>
      <c r="D6" s="40"/>
      <c r="E6" s="40"/>
      <c r="F6" s="40"/>
      <c r="G6" s="40"/>
      <c r="H6" s="40"/>
      <c r="I6" s="40"/>
      <c r="J6" s="40"/>
      <c r="K6" s="40"/>
      <c r="O6" s="46" t="s">
        <v>63</v>
      </c>
      <c r="P6" s="42">
        <f>P18/P12*100</f>
        <v>93.554511219694376</v>
      </c>
      <c r="Q6" s="44"/>
    </row>
    <row r="7" spans="1:17" x14ac:dyDescent="0.25">
      <c r="A7" s="41" t="s">
        <v>49</v>
      </c>
      <c r="B7" s="41"/>
      <c r="C7" s="41"/>
      <c r="D7" s="41"/>
      <c r="E7" s="41"/>
      <c r="F7" s="41"/>
      <c r="G7" s="41"/>
      <c r="H7" s="41"/>
      <c r="I7" s="41"/>
      <c r="J7" s="41"/>
      <c r="K7" s="41"/>
      <c r="O7" s="46" t="s">
        <v>64</v>
      </c>
      <c r="P7" s="42">
        <f>P19/P13*100</f>
        <v>106.88955422488355</v>
      </c>
      <c r="Q7" s="44"/>
    </row>
    <row r="8" spans="1:17" x14ac:dyDescent="0.25">
      <c r="A8" s="41" t="s">
        <v>50</v>
      </c>
      <c r="B8" s="41"/>
      <c r="C8" s="41">
        <v>2500</v>
      </c>
      <c r="D8" s="41"/>
      <c r="E8" s="41"/>
      <c r="F8" s="41"/>
      <c r="G8" s="41"/>
      <c r="H8" s="41"/>
      <c r="I8" s="41"/>
      <c r="J8" s="41"/>
      <c r="K8" s="41"/>
      <c r="O8" s="46" t="s">
        <v>65</v>
      </c>
      <c r="P8" s="42">
        <f t="shared" ref="P7:P10" si="0">P20/P14*100</f>
        <v>118.27956989247311</v>
      </c>
      <c r="Q8" s="44"/>
    </row>
    <row r="9" spans="1:17" x14ac:dyDescent="0.25">
      <c r="A9" s="41" t="s">
        <v>51</v>
      </c>
      <c r="B9" s="41"/>
      <c r="C9" s="41">
        <v>1100</v>
      </c>
      <c r="D9" s="41"/>
      <c r="E9" s="41"/>
      <c r="F9" s="41"/>
      <c r="G9" s="41"/>
      <c r="H9" s="41"/>
      <c r="I9" s="41"/>
      <c r="J9" s="41"/>
      <c r="K9" s="41"/>
      <c r="O9" s="46" t="s">
        <v>66</v>
      </c>
      <c r="P9" s="42">
        <f>P21/P15*100</f>
        <v>119.20063349170624</v>
      </c>
      <c r="Q9" s="44"/>
    </row>
    <row r="10" spans="1:17" x14ac:dyDescent="0.25">
      <c r="A10" s="41" t="s">
        <v>52</v>
      </c>
      <c r="B10" s="41"/>
      <c r="C10" s="41">
        <v>5000</v>
      </c>
      <c r="D10" s="41"/>
      <c r="E10" s="41"/>
      <c r="F10" s="41"/>
      <c r="G10" s="41"/>
      <c r="H10" s="41"/>
      <c r="I10" s="41"/>
      <c r="J10" s="41"/>
      <c r="K10" s="41"/>
      <c r="O10" s="46" t="s">
        <v>67</v>
      </c>
      <c r="P10" s="42">
        <f>P22/P16*100</f>
        <v>119.76911976911975</v>
      </c>
      <c r="Q10" s="44"/>
    </row>
    <row r="11" spans="1:17" x14ac:dyDescent="0.25">
      <c r="A11" s="41" t="s">
        <v>53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O11" s="47" t="s">
        <v>68</v>
      </c>
      <c r="P11" s="42"/>
      <c r="Q11" s="44"/>
    </row>
    <row r="12" spans="1:17" x14ac:dyDescent="0.25">
      <c r="A12" s="41" t="s">
        <v>50</v>
      </c>
      <c r="B12" s="41"/>
      <c r="C12" s="41">
        <v>200</v>
      </c>
      <c r="D12" s="41"/>
      <c r="E12" s="41"/>
      <c r="F12" s="41"/>
      <c r="G12" s="41"/>
      <c r="H12" s="41"/>
      <c r="I12" s="41"/>
      <c r="J12" s="41"/>
      <c r="K12" s="41"/>
      <c r="O12" s="46" t="s">
        <v>69</v>
      </c>
      <c r="P12" s="42">
        <f>M20/(C19*1000)</f>
        <v>2.0570422535211268</v>
      </c>
      <c r="Q12" s="44"/>
    </row>
    <row r="13" spans="1:17" x14ac:dyDescent="0.25">
      <c r="A13" s="41" t="s">
        <v>51</v>
      </c>
      <c r="B13" s="41"/>
      <c r="C13" s="41">
        <v>110</v>
      </c>
      <c r="D13" s="41"/>
      <c r="E13" s="41"/>
      <c r="F13" s="41"/>
      <c r="G13" s="41"/>
      <c r="H13" s="41"/>
      <c r="I13" s="41"/>
      <c r="J13" s="41"/>
      <c r="K13" s="41"/>
      <c r="O13" s="46" t="s">
        <v>70</v>
      </c>
      <c r="P13" s="42">
        <f>C19*1000/M20</f>
        <v>0.48613488531324889</v>
      </c>
      <c r="Q13" s="44"/>
    </row>
    <row r="14" spans="1:17" x14ac:dyDescent="0.25">
      <c r="A14" s="41" t="s">
        <v>52</v>
      </c>
      <c r="B14" s="41"/>
      <c r="C14" s="41">
        <v>460</v>
      </c>
      <c r="D14" s="41"/>
      <c r="E14" s="41"/>
      <c r="F14" s="41"/>
      <c r="G14" s="41"/>
      <c r="H14" s="41"/>
      <c r="I14" s="41"/>
      <c r="J14" s="41"/>
      <c r="K14" s="41"/>
      <c r="O14" s="46" t="s">
        <v>71</v>
      </c>
      <c r="P14" s="42">
        <f>(C19*1000)/C21</f>
        <v>217.79141104294479</v>
      </c>
      <c r="Q14" s="44"/>
    </row>
    <row r="15" spans="1:17" x14ac:dyDescent="0.25">
      <c r="A15" s="41" t="s">
        <v>54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O15" s="46" t="s">
        <v>72</v>
      </c>
      <c r="P15" s="42">
        <f>((C19-C20)*1000)/C21</f>
        <v>197.85276073619633</v>
      </c>
      <c r="Q15" s="44"/>
    </row>
    <row r="16" spans="1:17" x14ac:dyDescent="0.25">
      <c r="A16" s="41" t="s">
        <v>50</v>
      </c>
      <c r="B16" s="41"/>
      <c r="C16" s="41">
        <v>110</v>
      </c>
      <c r="D16" s="41"/>
      <c r="E16" s="41"/>
      <c r="F16" s="41"/>
      <c r="G16" s="41"/>
      <c r="H16" s="41"/>
      <c r="I16" s="41"/>
      <c r="J16" s="41"/>
      <c r="K16" s="41"/>
      <c r="O16" s="46" t="s">
        <v>73</v>
      </c>
      <c r="P16" s="42">
        <f>(M22/(C19*1000))*100</f>
        <v>44.366197183098592</v>
      </c>
      <c r="Q16" s="44"/>
    </row>
    <row r="17" spans="1:17" x14ac:dyDescent="0.25">
      <c r="A17" s="41" t="s">
        <v>51</v>
      </c>
      <c r="B17" s="41"/>
      <c r="C17" s="41">
        <v>60</v>
      </c>
      <c r="D17" s="41"/>
      <c r="E17" s="41"/>
      <c r="F17" s="41"/>
      <c r="G17" s="41"/>
      <c r="H17" s="41"/>
      <c r="I17" s="41"/>
      <c r="J17" s="41"/>
      <c r="K17" s="41"/>
      <c r="O17" s="47" t="s">
        <v>74</v>
      </c>
      <c r="P17" s="42"/>
      <c r="Q17" s="44"/>
    </row>
    <row r="18" spans="1:17" x14ac:dyDescent="0.25">
      <c r="A18" s="41" t="s">
        <v>52</v>
      </c>
      <c r="B18" s="41"/>
      <c r="C18" s="41">
        <v>390</v>
      </c>
      <c r="D18" s="41"/>
      <c r="E18" s="41"/>
      <c r="F18" s="41"/>
      <c r="G18" s="41"/>
      <c r="H18" s="41"/>
      <c r="I18" s="41"/>
      <c r="J18" s="41"/>
      <c r="K18" s="41"/>
      <c r="O18" s="46" t="s">
        <v>69</v>
      </c>
      <c r="P18" s="42">
        <f>M24/(D35*1000)</f>
        <v>1.9244558258642765</v>
      </c>
      <c r="Q18" s="44"/>
    </row>
    <row r="19" spans="1:17" x14ac:dyDescent="0.25">
      <c r="A19" s="41" t="s">
        <v>55</v>
      </c>
      <c r="B19" s="41"/>
      <c r="C19" s="41">
        <v>1420</v>
      </c>
      <c r="D19" s="41"/>
      <c r="E19" s="41"/>
      <c r="F19" s="41"/>
      <c r="G19" s="41"/>
      <c r="H19" s="41"/>
      <c r="I19" s="41"/>
      <c r="J19" s="41"/>
      <c r="K19" s="41"/>
      <c r="L19" t="s">
        <v>79</v>
      </c>
      <c r="O19" s="46" t="s">
        <v>70</v>
      </c>
      <c r="P19" s="42">
        <f>D35*1000/M24</f>
        <v>0.51962741184298067</v>
      </c>
      <c r="Q19" s="44"/>
    </row>
    <row r="20" spans="1:17" x14ac:dyDescent="0.25">
      <c r="A20" s="41" t="s">
        <v>56</v>
      </c>
      <c r="B20" s="41"/>
      <c r="C20" s="41">
        <v>130</v>
      </c>
      <c r="D20" s="41"/>
      <c r="E20" s="41"/>
      <c r="F20" s="41"/>
      <c r="G20" s="41"/>
      <c r="H20" s="41"/>
      <c r="I20" s="41"/>
      <c r="J20" s="41"/>
      <c r="K20" s="41"/>
      <c r="L20" t="s">
        <v>75</v>
      </c>
      <c r="M20">
        <f>(C8*C12+C9*C13+C10*C14)</f>
        <v>2921000</v>
      </c>
      <c r="O20" s="46" t="s">
        <v>71</v>
      </c>
      <c r="P20" s="42">
        <f>D35*1000/E37</f>
        <v>257.60274424434328</v>
      </c>
      <c r="Q20" s="44"/>
    </row>
    <row r="21" spans="1:17" x14ac:dyDescent="0.25">
      <c r="A21" s="41" t="s">
        <v>57</v>
      </c>
      <c r="B21" s="41"/>
      <c r="C21" s="41">
        <v>6520</v>
      </c>
      <c r="D21" s="41"/>
      <c r="E21" s="41"/>
      <c r="F21" s="41"/>
      <c r="G21" s="41"/>
      <c r="H21" s="41"/>
      <c r="I21" s="41"/>
      <c r="J21" s="41"/>
      <c r="K21" s="41"/>
      <c r="L21" t="s">
        <v>76</v>
      </c>
      <c r="M21">
        <f>C8*C16+C9*C17+C10*C18</f>
        <v>2291000</v>
      </c>
      <c r="O21" s="46" t="s">
        <v>72</v>
      </c>
      <c r="P21" s="42">
        <f>((D35-D36)*1000)/E37</f>
        <v>235.84174417837588</v>
      </c>
      <c r="Q21" s="44"/>
    </row>
    <row r="22" spans="1:17" x14ac:dyDescent="0.25">
      <c r="A22" s="40" t="s">
        <v>58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t="s">
        <v>77</v>
      </c>
      <c r="M22">
        <f>M20-M21</f>
        <v>630000</v>
      </c>
      <c r="O22" s="46" t="s">
        <v>73</v>
      </c>
      <c r="P22" s="42">
        <f>(M26/(D35*1000)*100)</f>
        <v>53.137003841229188</v>
      </c>
      <c r="Q22" s="44"/>
    </row>
    <row r="23" spans="1:17" x14ac:dyDescent="0.25">
      <c r="A23" s="41" t="s">
        <v>49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t="s">
        <v>78</v>
      </c>
    </row>
    <row r="24" spans="1:17" x14ac:dyDescent="0.25">
      <c r="A24" s="41" t="s">
        <v>50</v>
      </c>
      <c r="B24" s="41"/>
      <c r="C24" s="41">
        <v>2600</v>
      </c>
      <c r="D24" s="41"/>
      <c r="E24" s="41"/>
      <c r="F24" s="41"/>
      <c r="G24" s="41"/>
      <c r="H24" s="41"/>
      <c r="I24" s="41"/>
      <c r="J24" s="41"/>
      <c r="K24" s="41"/>
      <c r="L24" t="s">
        <v>75</v>
      </c>
      <c r="M24">
        <f>(C24*C28+C25*C29+C26*C30)</f>
        <v>3006000</v>
      </c>
    </row>
    <row r="25" spans="1:17" x14ac:dyDescent="0.25">
      <c r="A25" s="41" t="s">
        <v>51</v>
      </c>
      <c r="B25" s="41"/>
      <c r="C25" s="41">
        <v>1200</v>
      </c>
      <c r="D25" s="41"/>
      <c r="E25" s="41"/>
      <c r="F25" s="41"/>
      <c r="G25" s="41"/>
      <c r="H25" s="41"/>
      <c r="I25" s="41"/>
      <c r="J25" s="41"/>
      <c r="K25" s="41"/>
      <c r="L25" t="s">
        <v>76</v>
      </c>
      <c r="M25">
        <f>C24*C32+C25*C33+C26*C34</f>
        <v>2176000</v>
      </c>
    </row>
    <row r="26" spans="1:17" x14ac:dyDescent="0.25">
      <c r="A26" s="41" t="s">
        <v>52</v>
      </c>
      <c r="B26" s="41"/>
      <c r="C26" s="41">
        <v>5200</v>
      </c>
      <c r="D26" s="41"/>
      <c r="E26" s="41"/>
      <c r="F26" s="41"/>
      <c r="G26" s="41"/>
      <c r="H26" s="41"/>
      <c r="I26" s="41"/>
      <c r="J26" s="41"/>
      <c r="K26" s="41"/>
      <c r="L26" t="s">
        <v>77</v>
      </c>
      <c r="M26">
        <f>M24-M25</f>
        <v>830000</v>
      </c>
    </row>
    <row r="27" spans="1:17" x14ac:dyDescent="0.25">
      <c r="A27" s="41" t="s">
        <v>53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spans="1:17" x14ac:dyDescent="0.25">
      <c r="A28" s="41" t="s">
        <v>50</v>
      </c>
      <c r="B28" s="41"/>
      <c r="C28" s="41">
        <v>210</v>
      </c>
      <c r="D28" s="41"/>
      <c r="E28" s="41"/>
      <c r="F28" s="41"/>
      <c r="G28" s="41"/>
      <c r="H28" s="41"/>
      <c r="I28" s="41"/>
      <c r="J28" s="41"/>
      <c r="K28" s="41"/>
    </row>
    <row r="29" spans="1:17" x14ac:dyDescent="0.25">
      <c r="A29" s="41" t="s">
        <v>51</v>
      </c>
      <c r="B29" s="41"/>
      <c r="C29" s="41">
        <v>100</v>
      </c>
      <c r="D29" s="41"/>
      <c r="E29" s="41"/>
      <c r="F29" s="41"/>
      <c r="G29" s="41"/>
      <c r="H29" s="41"/>
      <c r="I29" s="41"/>
      <c r="J29" s="41"/>
      <c r="K29" s="41"/>
    </row>
    <row r="30" spans="1:17" x14ac:dyDescent="0.25">
      <c r="A30" s="41" t="s">
        <v>52</v>
      </c>
      <c r="B30" s="41"/>
      <c r="C30" s="41">
        <v>450</v>
      </c>
      <c r="D30" s="41"/>
      <c r="E30" s="41"/>
      <c r="F30" s="41"/>
      <c r="G30" s="41"/>
      <c r="H30" s="41"/>
      <c r="I30" s="41"/>
      <c r="J30" s="41"/>
      <c r="K30" s="41"/>
    </row>
    <row r="31" spans="1:17" x14ac:dyDescent="0.25">
      <c r="A31" s="41" t="s">
        <v>54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</row>
    <row r="32" spans="1:17" x14ac:dyDescent="0.25">
      <c r="A32" s="41" t="s">
        <v>50</v>
      </c>
      <c r="B32" s="41"/>
      <c r="C32" s="41">
        <v>100</v>
      </c>
      <c r="D32" s="41"/>
      <c r="E32" s="41"/>
      <c r="F32" s="41"/>
      <c r="G32" s="41"/>
      <c r="H32" s="41"/>
      <c r="I32" s="41"/>
      <c r="J32" s="41"/>
      <c r="K32" s="41"/>
    </row>
    <row r="33" spans="1:11" x14ac:dyDescent="0.25">
      <c r="A33" s="41" t="s">
        <v>51</v>
      </c>
      <c r="B33" s="41"/>
      <c r="C33" s="41">
        <v>80</v>
      </c>
      <c r="D33" s="41"/>
      <c r="E33" s="41"/>
      <c r="F33" s="41"/>
      <c r="G33" s="41"/>
      <c r="H33" s="41"/>
      <c r="I33" s="41"/>
      <c r="J33" s="41"/>
      <c r="K33" s="41"/>
    </row>
    <row r="34" spans="1:11" x14ac:dyDescent="0.25">
      <c r="A34" s="41" t="s">
        <v>52</v>
      </c>
      <c r="B34" s="41"/>
      <c r="C34" s="41">
        <v>350</v>
      </c>
      <c r="D34" s="41"/>
      <c r="E34" s="41"/>
      <c r="F34" s="41"/>
      <c r="G34" s="41"/>
      <c r="H34" s="41"/>
      <c r="I34" s="41"/>
      <c r="J34" s="41"/>
      <c r="K34" s="41"/>
    </row>
    <row r="35" spans="1:11" x14ac:dyDescent="0.25">
      <c r="A35" s="41" t="s">
        <v>59</v>
      </c>
      <c r="B35" s="41"/>
      <c r="C35" s="41">
        <v>10</v>
      </c>
      <c r="D35" s="41">
        <f>C19+(C19*C35/100)</f>
        <v>1562</v>
      </c>
      <c r="E35" s="41"/>
      <c r="F35" s="41"/>
      <c r="G35" s="41"/>
      <c r="H35" s="41"/>
      <c r="I35" s="41"/>
      <c r="J35" s="41"/>
      <c r="K35" s="41"/>
    </row>
    <row r="36" spans="1:11" x14ac:dyDescent="0.25">
      <c r="A36" s="41" t="s">
        <v>60</v>
      </c>
      <c r="B36" s="41"/>
      <c r="C36" s="41">
        <v>1.5</v>
      </c>
      <c r="D36" s="41">
        <f>C20*(C36/100)+C20</f>
        <v>131.94999999999999</v>
      </c>
      <c r="E36" s="41"/>
      <c r="F36" s="41"/>
      <c r="G36" s="41"/>
      <c r="H36" s="41"/>
      <c r="I36" s="41"/>
      <c r="J36" s="41"/>
      <c r="K36" s="41"/>
    </row>
    <row r="37" spans="1:11" x14ac:dyDescent="0.25">
      <c r="A37" s="41" t="s">
        <v>61</v>
      </c>
      <c r="B37" s="41"/>
      <c r="C37" s="41">
        <v>7</v>
      </c>
      <c r="D37" s="41">
        <f>C21*C37/100</f>
        <v>456.4</v>
      </c>
      <c r="E37" s="41">
        <f>C21-D37</f>
        <v>6063.6</v>
      </c>
      <c r="F37" s="41"/>
      <c r="G37" s="41"/>
      <c r="H37" s="41"/>
      <c r="I37" s="41"/>
      <c r="J37" s="41"/>
      <c r="K37" s="41"/>
    </row>
  </sheetData>
  <mergeCells count="2">
    <mergeCell ref="A4:A5"/>
    <mergeCell ref="B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A10" zoomScaleNormal="100" workbookViewId="0">
      <selection activeCell="B22" sqref="B22"/>
    </sheetView>
  </sheetViews>
  <sheetFormatPr defaultRowHeight="15" x14ac:dyDescent="0.25"/>
  <cols>
    <col min="1" max="1" width="40.875" customWidth="1"/>
  </cols>
  <sheetData>
    <row r="1" spans="1:11" ht="18.75" x14ac:dyDescent="0.3">
      <c r="A1" s="56" t="s">
        <v>80</v>
      </c>
    </row>
    <row r="2" spans="1:11" ht="15.75" x14ac:dyDescent="0.25">
      <c r="A2" s="57" t="s">
        <v>81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x14ac:dyDescent="0.25">
      <c r="A3" s="59" t="s">
        <v>27</v>
      </c>
      <c r="B3" s="60" t="s">
        <v>28</v>
      </c>
      <c r="C3" s="60"/>
      <c r="D3" s="60"/>
      <c r="E3" s="60"/>
      <c r="F3" s="60"/>
      <c r="G3" s="60"/>
      <c r="H3" s="60"/>
      <c r="I3" s="60"/>
      <c r="J3" s="60"/>
      <c r="K3" s="60"/>
    </row>
    <row r="4" spans="1:11" x14ac:dyDescent="0.25">
      <c r="A4" s="59"/>
      <c r="B4" s="61">
        <v>2</v>
      </c>
      <c r="C4" s="61"/>
      <c r="D4" s="61"/>
      <c r="E4" s="61"/>
      <c r="F4" s="61"/>
      <c r="G4" s="61"/>
      <c r="H4" s="61"/>
      <c r="I4" s="61"/>
      <c r="J4" s="61"/>
      <c r="K4" s="61"/>
    </row>
    <row r="5" spans="1:11" ht="77.25" x14ac:dyDescent="0.25">
      <c r="A5" s="62" t="s">
        <v>82</v>
      </c>
      <c r="B5" s="63">
        <v>66</v>
      </c>
      <c r="C5" s="63"/>
      <c r="D5" s="63"/>
      <c r="E5" s="63"/>
      <c r="F5" s="63"/>
      <c r="G5" s="63"/>
      <c r="H5" s="63"/>
      <c r="I5" s="63"/>
      <c r="J5" s="63"/>
      <c r="K5" s="63"/>
    </row>
    <row r="6" spans="1:11" ht="77.25" x14ac:dyDescent="0.25">
      <c r="A6" s="62" t="s">
        <v>83</v>
      </c>
      <c r="B6" s="63">
        <v>40</v>
      </c>
      <c r="C6" s="63"/>
      <c r="D6" s="63"/>
      <c r="E6" s="63"/>
      <c r="F6" s="63"/>
      <c r="G6" s="63"/>
      <c r="H6" s="63"/>
      <c r="I6" s="63"/>
      <c r="J6" s="63"/>
      <c r="K6" s="63"/>
    </row>
    <row r="7" spans="1:11" x14ac:dyDescent="0.25">
      <c r="A7" s="64" t="s">
        <v>84</v>
      </c>
      <c r="B7" s="63">
        <v>123</v>
      </c>
      <c r="C7" s="63"/>
      <c r="D7" s="63"/>
      <c r="E7" s="63"/>
      <c r="F7" s="63"/>
      <c r="G7" s="63"/>
      <c r="H7" s="63"/>
      <c r="I7" s="63"/>
      <c r="J7" s="63"/>
      <c r="K7" s="63"/>
    </row>
    <row r="8" spans="1:11" x14ac:dyDescent="0.25">
      <c r="A8" s="64" t="s">
        <v>85</v>
      </c>
      <c r="B8" s="63">
        <v>180</v>
      </c>
      <c r="C8" s="63"/>
      <c r="D8" s="63"/>
      <c r="E8" s="63"/>
      <c r="F8" s="63"/>
      <c r="G8" s="63"/>
      <c r="H8" s="63"/>
      <c r="I8" s="63"/>
      <c r="J8" s="63"/>
      <c r="K8" s="63"/>
    </row>
    <row r="9" spans="1:11" x14ac:dyDescent="0.25">
      <c r="A9" s="65" t="s">
        <v>86</v>
      </c>
      <c r="B9" s="66">
        <f>(B8/B5)*B7</f>
        <v>335.45454545454544</v>
      </c>
      <c r="C9" s="66"/>
      <c r="D9" s="66"/>
      <c r="E9" s="66"/>
      <c r="F9" s="66"/>
      <c r="G9" s="66"/>
      <c r="H9" s="66"/>
      <c r="I9" s="66"/>
      <c r="J9" s="66"/>
      <c r="K9" s="66"/>
    </row>
    <row r="10" spans="1:11" x14ac:dyDescent="0.25">
      <c r="A10" s="65" t="s">
        <v>87</v>
      </c>
      <c r="B10" s="66">
        <f>(B8/B6)*B7</f>
        <v>553.5</v>
      </c>
      <c r="C10" s="66"/>
      <c r="D10" s="66"/>
      <c r="E10" s="66"/>
      <c r="F10" s="66"/>
      <c r="G10" s="66"/>
      <c r="H10" s="66"/>
      <c r="I10" s="66"/>
      <c r="J10" s="66"/>
      <c r="K10" s="66"/>
    </row>
    <row r="11" spans="1:11" x14ac:dyDescent="0.25">
      <c r="A11" s="67" t="s">
        <v>88</v>
      </c>
      <c r="B11" s="66">
        <f>B10-B9</f>
        <v>218.04545454545456</v>
      </c>
      <c r="C11" s="66"/>
      <c r="D11" s="66"/>
      <c r="E11" s="66"/>
      <c r="F11" s="66"/>
      <c r="G11" s="66"/>
      <c r="H11" s="66"/>
      <c r="I11" s="66"/>
      <c r="J11" s="66"/>
      <c r="K11" s="66"/>
    </row>
    <row r="12" spans="1:11" x14ac:dyDescent="0.25">
      <c r="A12" s="70"/>
    </row>
    <row r="13" spans="1:11" ht="15.75" x14ac:dyDescent="0.25">
      <c r="A13" s="57" t="s">
        <v>89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11" x14ac:dyDescent="0.25">
      <c r="A14" s="59" t="s">
        <v>27</v>
      </c>
      <c r="B14" s="60" t="s">
        <v>28</v>
      </c>
      <c r="C14" s="60"/>
      <c r="D14" s="60"/>
      <c r="E14" s="60"/>
      <c r="F14" s="60"/>
      <c r="G14" s="60"/>
      <c r="H14" s="60"/>
      <c r="I14" s="60"/>
      <c r="J14" s="60"/>
      <c r="K14" s="60"/>
    </row>
    <row r="15" spans="1:11" x14ac:dyDescent="0.25">
      <c r="A15" s="59"/>
      <c r="B15" s="61">
        <v>2</v>
      </c>
      <c r="D15" s="61"/>
      <c r="E15" s="61"/>
      <c r="F15" s="61"/>
      <c r="G15" s="61"/>
      <c r="H15" s="61"/>
      <c r="I15" s="61"/>
      <c r="J15" s="61"/>
      <c r="K15" s="61"/>
    </row>
    <row r="16" spans="1:11" x14ac:dyDescent="0.25">
      <c r="A16" s="64" t="s">
        <v>90</v>
      </c>
      <c r="B16" s="63">
        <v>670</v>
      </c>
      <c r="D16" s="63"/>
      <c r="E16" s="63"/>
      <c r="F16" s="63"/>
      <c r="G16" s="63"/>
      <c r="H16" s="63"/>
      <c r="I16" s="63"/>
      <c r="J16" s="63"/>
      <c r="K16" s="63"/>
    </row>
    <row r="17" spans="1:11" x14ac:dyDescent="0.25">
      <c r="A17" s="64" t="s">
        <v>91</v>
      </c>
      <c r="B17" s="63">
        <v>195</v>
      </c>
      <c r="D17" s="63"/>
      <c r="E17" s="63"/>
      <c r="F17" s="63"/>
      <c r="G17" s="63"/>
      <c r="H17" s="63"/>
      <c r="I17" s="63"/>
      <c r="J17" s="63"/>
      <c r="K17" s="63"/>
    </row>
    <row r="18" spans="1:11" x14ac:dyDescent="0.25">
      <c r="A18" s="64" t="s">
        <v>85</v>
      </c>
      <c r="B18" s="63">
        <v>360</v>
      </c>
      <c r="D18" s="63"/>
      <c r="E18" s="63"/>
      <c r="F18" s="63"/>
      <c r="G18" s="63"/>
      <c r="H18" s="63"/>
      <c r="I18" s="63"/>
      <c r="J18" s="63"/>
      <c r="K18" s="63"/>
    </row>
    <row r="19" spans="1:11" x14ac:dyDescent="0.25">
      <c r="A19" s="65" t="s">
        <v>92</v>
      </c>
      <c r="B19" s="66">
        <f>B16/B17</f>
        <v>3.4358974358974357</v>
      </c>
      <c r="D19" s="66"/>
      <c r="E19" s="66"/>
      <c r="F19" s="66"/>
      <c r="G19" s="66"/>
      <c r="H19" s="66"/>
      <c r="I19" s="66"/>
      <c r="J19" s="66"/>
      <c r="K19" s="66"/>
    </row>
    <row r="20" spans="1:11" x14ac:dyDescent="0.25">
      <c r="A20" s="68" t="s">
        <v>93</v>
      </c>
      <c r="B20" s="69">
        <v>5</v>
      </c>
      <c r="D20" s="69"/>
      <c r="E20" s="69"/>
      <c r="F20" s="69"/>
      <c r="G20" s="69"/>
      <c r="H20" s="69"/>
      <c r="I20" s="69"/>
      <c r="J20" s="69"/>
      <c r="K20" s="69"/>
    </row>
    <row r="21" spans="1:11" x14ac:dyDescent="0.25">
      <c r="A21" s="65" t="s">
        <v>94</v>
      </c>
      <c r="B21" s="66">
        <f>B17/B16*B18</f>
        <v>104.77611940298507</v>
      </c>
      <c r="C21" s="66"/>
      <c r="D21" s="66"/>
      <c r="E21" s="66"/>
      <c r="F21" s="66"/>
      <c r="G21" s="66"/>
      <c r="H21" s="66"/>
      <c r="I21" s="66"/>
      <c r="J21" s="66"/>
      <c r="K21" s="66"/>
    </row>
    <row r="22" spans="1:11" x14ac:dyDescent="0.25">
      <c r="A22" s="65" t="s">
        <v>95</v>
      </c>
      <c r="B22" s="66">
        <f>B18/B20</f>
        <v>72</v>
      </c>
      <c r="C22" s="66"/>
      <c r="D22" s="66"/>
      <c r="E22" s="66"/>
      <c r="F22" s="66"/>
      <c r="G22" s="66"/>
      <c r="H22" s="66"/>
      <c r="I22" s="66"/>
      <c r="J22" s="66"/>
      <c r="K22" s="66"/>
    </row>
    <row r="23" spans="1:11" x14ac:dyDescent="0.25">
      <c r="A23" s="67" t="s">
        <v>96</v>
      </c>
      <c r="B23" s="66">
        <f>B16/B20</f>
        <v>134</v>
      </c>
      <c r="C23" s="66"/>
      <c r="D23" s="66"/>
      <c r="E23" s="66"/>
      <c r="F23" s="66"/>
      <c r="G23" s="66"/>
      <c r="H23" s="66"/>
      <c r="I23" s="66"/>
      <c r="J23" s="66"/>
      <c r="K23" s="66"/>
    </row>
    <row r="24" spans="1:11" x14ac:dyDescent="0.25">
      <c r="A24" s="67" t="s">
        <v>97</v>
      </c>
      <c r="B24" s="66">
        <f>B23-B17</f>
        <v>-61</v>
      </c>
      <c r="C24" s="66"/>
      <c r="D24" s="66"/>
      <c r="E24" s="66"/>
      <c r="F24" s="66"/>
      <c r="G24" s="66"/>
      <c r="H24" s="66"/>
      <c r="I24" s="66"/>
      <c r="J24" s="66"/>
      <c r="K24" s="66"/>
    </row>
  </sheetData>
  <mergeCells count="4">
    <mergeCell ref="A3:A4"/>
    <mergeCell ref="B3:K3"/>
    <mergeCell ref="A14:A15"/>
    <mergeCell ref="B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Ghigher GG</dc:creator>
  <cp:lastModifiedBy>Пользователь</cp:lastModifiedBy>
  <dcterms:created xsi:type="dcterms:W3CDTF">2015-06-05T18:19:34Z</dcterms:created>
  <dcterms:modified xsi:type="dcterms:W3CDTF">2026-03-05T06:19:23Z</dcterms:modified>
</cp:coreProperties>
</file>