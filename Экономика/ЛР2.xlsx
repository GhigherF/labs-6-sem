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labs\labs-6-sem\Экономика\"/>
    </mc:Choice>
  </mc:AlternateContent>
  <xr:revisionPtr revIDLastSave="0" documentId="13_ncr:1_{A6F558C4-1ABD-4DB3-B739-097C4ED0F3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V10" i="1" l="1"/>
  <c r="AV9" i="1"/>
  <c r="AV8" i="1"/>
  <c r="AV7" i="1"/>
  <c r="AS21" i="1" l="1"/>
  <c r="AS20" i="1"/>
  <c r="AS19" i="1"/>
  <c r="AS18" i="1"/>
  <c r="AR21" i="1"/>
  <c r="AR20" i="1"/>
  <c r="AR19" i="1"/>
  <c r="AG12" i="1"/>
  <c r="AN7" i="1"/>
  <c r="AR18" i="1"/>
  <c r="AQ21" i="1"/>
  <c r="AP21" i="1"/>
  <c r="AP20" i="1"/>
  <c r="AQ19" i="1"/>
  <c r="AQ20" i="1"/>
  <c r="AQ18" i="1"/>
  <c r="AP19" i="1"/>
  <c r="AN6" i="1"/>
  <c r="AP18" i="1"/>
  <c r="AO20" i="1"/>
  <c r="AO19" i="1"/>
  <c r="AO18" i="1"/>
  <c r="AN21" i="1"/>
  <c r="AN20" i="1"/>
  <c r="AN19" i="1"/>
  <c r="AN18" i="1"/>
  <c r="AP13" i="1"/>
  <c r="AO13" i="1"/>
  <c r="AN13" i="1"/>
  <c r="AP12" i="1"/>
  <c r="AO12" i="1"/>
  <c r="AN12" i="1"/>
  <c r="AP11" i="1"/>
  <c r="AO11" i="1"/>
  <c r="AN11" i="1"/>
  <c r="AO10" i="1"/>
  <c r="AP10" i="1"/>
  <c r="AN10" i="1"/>
  <c r="AP9" i="1"/>
  <c r="AN9" i="1"/>
  <c r="AO9" i="1"/>
  <c r="AP7" i="1"/>
  <c r="AO7" i="1"/>
  <c r="AE12" i="1"/>
  <c r="AP6" i="1"/>
  <c r="AO6" i="1"/>
  <c r="AF23" i="1"/>
  <c r="AG23" i="1"/>
  <c r="AD16" i="1"/>
  <c r="AC21" i="1"/>
  <c r="AD21" i="1" s="1"/>
  <c r="AE21" i="1" s="1"/>
  <c r="AF21" i="1" s="1"/>
  <c r="AG21" i="1" s="1"/>
  <c r="AC20" i="1"/>
  <c r="AD20" i="1" s="1"/>
  <c r="AE20" i="1" s="1"/>
  <c r="AC17" i="1"/>
  <c r="AD17" i="1" s="1"/>
  <c r="AC16" i="1"/>
  <c r="AB21" i="1"/>
  <c r="AB20" i="1"/>
  <c r="AB17" i="1"/>
  <c r="AB16" i="1"/>
  <c r="AB12" i="1"/>
  <c r="AC14" i="1"/>
  <c r="AC13" i="1"/>
  <c r="AD13" i="1" s="1"/>
  <c r="AE13" i="1" s="1"/>
  <c r="AF13" i="1" s="1"/>
  <c r="AG13" i="1" s="1"/>
  <c r="AC12" i="1"/>
  <c r="AD12" i="1" s="1"/>
  <c r="AD14" i="1" s="1"/>
  <c r="AB13" i="1"/>
  <c r="AI4" i="1"/>
  <c r="AC4" i="1"/>
  <c r="AD4" i="1"/>
  <c r="AE4" i="1"/>
  <c r="AF4" i="1"/>
  <c r="AG4" i="1"/>
  <c r="AH4" i="1"/>
  <c r="AB4" i="1"/>
  <c r="C12" i="1"/>
  <c r="C13" i="1" s="1"/>
  <c r="C15" i="1" s="1"/>
  <c r="C16" i="1" s="1"/>
  <c r="C7" i="1"/>
  <c r="C6" i="1"/>
  <c r="AF20" i="1" l="1"/>
  <c r="AG20" i="1" s="1"/>
  <c r="AG22" i="1" s="1"/>
  <c r="AE22" i="1"/>
  <c r="AC22" i="1"/>
  <c r="AD22" i="1" s="1"/>
  <c r="AD23" i="1" s="1"/>
  <c r="AE16" i="1"/>
  <c r="AF16" i="1" s="1"/>
  <c r="AG16" i="1" s="1"/>
  <c r="AC18" i="1"/>
  <c r="AD18" i="1" s="1"/>
  <c r="AE18" i="1" s="1"/>
  <c r="AF18" i="1" s="1"/>
  <c r="AE17" i="1"/>
  <c r="AF17" i="1" s="1"/>
  <c r="AG17" i="1" s="1"/>
  <c r="AG18" i="1" l="1"/>
  <c r="AC23" i="1"/>
  <c r="AF22" i="1"/>
  <c r="AE14" i="1"/>
  <c r="AE23" i="1" s="1"/>
  <c r="AF12" i="1"/>
  <c r="AF14" i="1" l="1"/>
  <c r="AG14" i="1"/>
</calcChain>
</file>

<file path=xl/sharedStrings.xml><?xml version="1.0" encoding="utf-8"?>
<sst xmlns="http://schemas.openxmlformats.org/spreadsheetml/2006/main" count="114" uniqueCount="96">
  <si>
    <t>Таблица 1. Баланс рабочего времени одного среднесписочного рабочего</t>
  </si>
  <si>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</si>
  <si>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</si>
  <si>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</si>
  <si>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</si>
  <si>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 xml:space="preserve">3. Номинальный фонд рабочего времени, дней (п.1-п.2) </t>
  </si>
  <si>
    <t>4. Планируемые невыходы на работу (итого), дней: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</si>
  <si>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</si>
  <si>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</si>
  <si>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</si>
  <si>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</si>
  <si>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5. Эффективный фонд времени в днях (п.3-п.4)</t>
  </si>
  <si>
    <t>6. Число рабочих часов в году (п.5×продолжительность рабочей смены 8 ч)</t>
  </si>
  <si>
    <t>7. Планируемые потери времени, ч</t>
  </si>
  <si>
    <t>8. Эффективный фонд рабочего времени, ч (п.6-п.7)</t>
  </si>
  <si>
    <t>9. Эффективный фонд рабочего времени в среднем за месяц, ч (п.8/12)</t>
  </si>
  <si>
    <t>Таблица 2. Исходные данные</t>
  </si>
  <si>
    <t>Тарифная ставка в месяц 1 разряда, руб.</t>
  </si>
  <si>
    <t>Размер премии, %</t>
  </si>
  <si>
    <t>Число смен</t>
  </si>
  <si>
    <t>Годовой объем произведенной продукции, работ, услуг, тыс. руб.</t>
  </si>
  <si>
    <t>Явочное число рабочих в смену: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</si>
  <si>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</si>
  <si>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t>Упаковщик</t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</si>
  <si>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</si>
  <si>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Наладчик оборудования</t>
  </si>
  <si>
    <t xml:space="preserve">Грузчик </t>
  </si>
  <si>
    <t>Уборщик помещений</t>
  </si>
  <si>
    <t>Тарифные разряды:</t>
  </si>
  <si>
    <t>Число руководителей, специалистов:</t>
  </si>
  <si>
    <t xml:space="preserve">Начальник подразделения </t>
  </si>
  <si>
    <t>Инженер по автоматизации</t>
  </si>
  <si>
    <t>Экономист</t>
  </si>
  <si>
    <t>Месячный должностной оклад, руб.</t>
  </si>
  <si>
    <t>Начальник подразделения</t>
  </si>
  <si>
    <t>Таблица 3. Часовая тарифная ставка в зависимости от тарифного коэффициента соответствующего разряда</t>
  </si>
  <si>
    <t>Разряд</t>
  </si>
  <si>
    <t>Часовая тарифная ставка, руб.</t>
  </si>
  <si>
    <t>Тарифный коэффициент</t>
  </si>
  <si>
    <t>Таблица 4. Расчет численности и тарифного фонда оплаты труда рабочих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</si>
  <si>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</si>
  <si>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</si>
  <si>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</si>
  <si>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</si>
  <si>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Явочная численность, чел.</t>
  </si>
  <si>
    <t>Списочное число, чел</t>
  </si>
  <si>
    <t>Эффективный фонд рабочего времени всех рабочих, ч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</si>
  <si>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</si>
  <si>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</si>
  <si>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</si>
  <si>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</si>
  <si>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</si>
  <si>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1.2 Упаковщик</t>
  </si>
  <si>
    <t>Итого:</t>
  </si>
  <si>
    <t>2.Вспомогательные рабочие: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</si>
  <si>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</si>
  <si>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</si>
  <si>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>3. Прочие: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</si>
  <si>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</si>
  <si>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</si>
  <si>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</si>
  <si>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Таблица 5. Расчет годового фонда заработной платы рабочих</t>
  </si>
  <si>
    <t>Элементы фонда оплаты труда, руб.</t>
  </si>
  <si>
    <t>Годовой фонд оплаты труда, руб.</t>
  </si>
  <si>
    <t>Основных рабочих</t>
  </si>
  <si>
    <t>Вспомогательных рабочих</t>
  </si>
  <si>
    <t>Прочих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</si>
  <si>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</si>
  <si>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</si>
  <si>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</si>
  <si>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</si>
  <si>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5. Итого основная заработная плата (п.1+п.2+п.3+п.4)</t>
  </si>
  <si>
    <t>6. Дополнительная зарплата, ставка в %</t>
  </si>
  <si>
    <t>7. Дополнительная зарплата, руб.</t>
  </si>
  <si>
    <t>Всего (п.5+п.7)</t>
  </si>
  <si>
    <t>----------------</t>
  </si>
  <si>
    <t>--------------------</t>
  </si>
  <si>
    <t>---------------------------</t>
  </si>
  <si>
    <t>Таблица 6. Расчет фонда оплаты труда руководителей, специалистов и технических исполнителей</t>
  </si>
  <si>
    <t>Наименование должности</t>
  </si>
  <si>
    <t>Количество человек</t>
  </si>
  <si>
    <t>Основная з/п</t>
  </si>
  <si>
    <t>Премии (см. исх. данные)</t>
  </si>
  <si>
    <t>Доп. з/п (см. п.6 табл. 5)</t>
  </si>
  <si>
    <t>Итого</t>
  </si>
  <si>
    <t>Всего:</t>
  </si>
  <si>
    <t xml:space="preserve">Таблица 7. Итоговые показатели </t>
  </si>
  <si>
    <t xml:space="preserve">Показатели 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</si>
  <si>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</si>
  <si>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</si>
  <si>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</si>
  <si>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</si>
  <si>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</si>
  <si>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руб./смену</t>
  </si>
  <si>
    <t>Производительность труда 1-го работающего, тыс. руб./час</t>
  </si>
  <si>
    <t>ЗА ЧАС ПЕРЕВЕСТИ ИЗ МЕСЯЦА - 520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</si>
</sst>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8" formatCode="0.0"/>
    <numFmt numFmtId="171" formatCode="_-* #,##0_-;\-* #,##0_-;_-* &quot;-&quot;??_-;_-@_-"/>
    <numFmt numFmtId="172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97">
    <xf numFmtId="0" fontId="0" fillId="0" borderId="0" xfId="0"/>
    <xf numFmtId="0" fontId="6" fillId="0" borderId="1" xfId="3" applyFont="1" applyBorder="1" applyAlignment="1">
      <alignment horizontal="justify" vertical="center" wrapText="1"/>
    </xf>
    <xf numFmtId="0" fontId="6" fillId="0" borderId="1" xfId="3" applyFont="1" applyBorder="1" applyAlignment="1">
      <alignment horizontal="center" vertical="center" wrapText="1"/>
    </xf>
    <xf numFmtId="1" fontId="6" fillId="0" borderId="1" xfId="3" applyNumberFormat="1" applyFont="1" applyBorder="1" applyAlignment="1">
      <alignment horizontal="center" vertical="center" wrapText="1"/>
    </xf>
    <xf numFmtId="1" fontId="6" fillId="2" borderId="1" xfId="3" applyNumberFormat="1" applyFont="1" applyFill="1" applyBorder="1" applyAlignment="1">
      <alignment horizontal="center" vertical="center" wrapText="1"/>
    </xf>
    <xf numFmtId="1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right" vertical="center" wrapText="1"/>
    </xf>
    <xf numFmtId="0" fontId="7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 wrapText="1"/>
    </xf>
    <xf numFmtId="0" fontId="6" fillId="0" borderId="3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9" fillId="0" borderId="0" xfId="3" applyFont="1" applyBorder="1" applyAlignment="1">
      <alignment horizontal="center" vertical="center"/>
    </xf>
    <xf numFmtId="0" fontId="1" fillId="0" borderId="0" xfId="3"/>
    <xf numFmtId="0" fontId="6" fillId="0" borderId="1" xfId="3" applyFont="1" applyBorder="1" applyAlignment="1">
      <alignment horizontal="justify" vertical="center" wrapText="1"/>
    </xf>
    <xf numFmtId="0" fontId="6" fillId="0" borderId="1" xfId="3" applyFont="1" applyBorder="1" applyAlignment="1">
      <alignment horizontal="center" vertical="center" wrapText="1"/>
    </xf>
    <xf numFmtId="1" fontId="6" fillId="0" borderId="1" xfId="3" applyNumberFormat="1" applyFont="1" applyBorder="1" applyAlignment="1">
      <alignment horizontal="center" vertical="center" wrapText="1"/>
    </xf>
    <xf numFmtId="0" fontId="10" fillId="0" borderId="1" xfId="3" applyFont="1" applyBorder="1" applyAlignment="1">
      <alignment horizontal="justify" vertical="center" wrapText="1"/>
    </xf>
    <xf numFmtId="2" fontId="10" fillId="0" borderId="1" xfId="3" applyNumberFormat="1" applyFont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right" vertical="center" wrapText="1"/>
    </xf>
    <xf numFmtId="1" fontId="10" fillId="0" borderId="1" xfId="3" applyNumberFormat="1" applyFont="1" applyBorder="1" applyAlignment="1">
      <alignment horizontal="center" vertical="center" wrapText="1"/>
    </xf>
    <xf numFmtId="1" fontId="6" fillId="3" borderId="1" xfId="3" applyNumberFormat="1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right" vertical="center" wrapText="1"/>
    </xf>
    <xf numFmtId="1" fontId="10" fillId="0" borderId="5" xfId="3" applyNumberFormat="1" applyFont="1" applyBorder="1" applyAlignment="1">
      <alignment horizontal="center" vertical="center" wrapText="1"/>
    </xf>
    <xf numFmtId="1" fontId="6" fillId="3" borderId="5" xfId="3" applyNumberFormat="1" applyFont="1" applyFill="1" applyBorder="1" applyAlignment="1">
      <alignment horizontal="center" vertical="center" wrapText="1"/>
    </xf>
    <xf numFmtId="0" fontId="10" fillId="0" borderId="5" xfId="3" applyFont="1" applyBorder="1" applyAlignment="1">
      <alignment horizontal="left" vertical="center" wrapText="1"/>
    </xf>
    <xf numFmtId="0" fontId="10" fillId="0" borderId="0" xfId="3" applyFont="1" applyBorder="1" applyAlignment="1">
      <alignment horizontal="left" vertical="center" wrapText="1"/>
    </xf>
    <xf numFmtId="0" fontId="6" fillId="0" borderId="1" xfId="3" applyFont="1" applyBorder="1" applyAlignment="1">
      <alignment horizontal="left" vertical="center" wrapText="1"/>
    </xf>
    <xf numFmtId="0" fontId="7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/>
    </xf>
    <xf numFmtId="1" fontId="13" fillId="0" borderId="1" xfId="3" applyNumberFormat="1" applyFont="1" applyFill="1" applyBorder="1" applyAlignment="1">
      <alignment horizontal="center" vertical="center" wrapText="1"/>
    </xf>
    <xf numFmtId="1" fontId="6" fillId="0" borderId="5" xfId="3" applyNumberFormat="1" applyFont="1" applyFill="1" applyBorder="1" applyAlignment="1">
      <alignment horizontal="center" vertical="center" wrapText="1"/>
    </xf>
    <xf numFmtId="1" fontId="6" fillId="0" borderId="1" xfId="3" applyNumberFormat="1" applyFont="1" applyFill="1" applyBorder="1" applyAlignment="1">
      <alignment horizontal="center" vertical="center" wrapText="1"/>
    </xf>
    <xf numFmtId="0" fontId="7" fillId="0" borderId="0" xfId="3" applyFont="1" applyBorder="1" applyAlignment="1">
      <alignment horizontal="center" vertical="center"/>
    </xf>
    <xf numFmtId="0" fontId="1" fillId="0" borderId="0" xfId="3"/>
    <xf numFmtId="0" fontId="10" fillId="0" borderId="1" xfId="3" applyFont="1" applyBorder="1" applyAlignment="1">
      <alignment horizontal="justify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" xfId="3" applyFont="1" applyFill="1" applyBorder="1" applyAlignment="1">
      <alignment horizontal="center" vertical="center" wrapText="1"/>
    </xf>
    <xf numFmtId="2" fontId="10" fillId="0" borderId="1" xfId="3" applyNumberFormat="1" applyFont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  <xf numFmtId="2" fontId="10" fillId="2" borderId="1" xfId="3" applyNumberFormat="1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justify" vertical="center" wrapText="1"/>
    </xf>
    <xf numFmtId="0" fontId="1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justify" vertical="center" wrapText="1"/>
    </xf>
    <xf numFmtId="0" fontId="1" fillId="0" borderId="1" xfId="3" applyFont="1" applyBorder="1" applyAlignment="1">
      <alignment vertical="center" wrapText="1"/>
    </xf>
    <xf numFmtId="1" fontId="1" fillId="2" borderId="1" xfId="3" applyNumberFormat="1" applyFont="1" applyFill="1" applyBorder="1" applyAlignment="1">
      <alignment horizontal="center" vertical="center" wrapText="1"/>
    </xf>
    <xf numFmtId="0" fontId="1" fillId="2" borderId="1" xfId="3" applyFont="1" applyFill="1" applyBorder="1" applyAlignment="1">
      <alignment horizontal="center" vertical="center" wrapText="1"/>
    </xf>
    <xf numFmtId="0" fontId="1" fillId="0" borderId="0" xfId="3" applyFont="1" applyFill="1" applyBorder="1" applyAlignment="1">
      <alignment vertical="center" wrapText="1"/>
    </xf>
    <xf numFmtId="0" fontId="1" fillId="0" borderId="0" xfId="3" applyFont="1" applyFill="1" applyBorder="1" applyAlignment="1">
      <alignment horizontal="center" vertical="center" wrapText="1"/>
    </xf>
    <xf numFmtId="0" fontId="1" fillId="0" borderId="0" xfId="3" applyFont="1" applyFill="1" applyBorder="1" applyAlignment="1">
      <alignment horizontal="justify" vertical="center" wrapText="1"/>
    </xf>
    <xf numFmtId="0" fontId="1" fillId="0" borderId="1" xfId="3" applyFont="1" applyFill="1" applyBorder="1" applyAlignment="1">
      <alignment horizontal="center" vertical="center" wrapText="1"/>
    </xf>
    <xf numFmtId="1" fontId="1" fillId="0" borderId="1" xfId="3" applyNumberFormat="1" applyFont="1" applyBorder="1" applyAlignment="1">
      <alignment vertical="center" wrapText="1"/>
    </xf>
    <xf numFmtId="1" fontId="4" fillId="2" borderId="1" xfId="3" applyNumberFormat="1" applyFont="1" applyFill="1" applyBorder="1" applyAlignment="1">
      <alignment horizontal="center" vertical="center" wrapText="1"/>
    </xf>
    <xf numFmtId="1" fontId="3" fillId="2" borderId="1" xfId="3" applyNumberFormat="1" applyFont="1" applyFill="1" applyBorder="1" applyAlignment="1">
      <alignment horizontal="center" vertical="center" wrapText="1"/>
    </xf>
    <xf numFmtId="1" fontId="8" fillId="2" borderId="1" xfId="3" applyNumberFormat="1" applyFont="1" applyFill="1" applyBorder="1" applyAlignment="1">
      <alignment horizontal="center" vertical="center" wrapText="1"/>
    </xf>
    <xf numFmtId="1" fontId="1" fillId="0" borderId="1" xfId="3" applyNumberFormat="1" applyFont="1" applyFill="1" applyBorder="1" applyAlignment="1">
      <alignment horizontal="center" vertical="center" wrapText="1"/>
    </xf>
    <xf numFmtId="1" fontId="1" fillId="0" borderId="1" xfId="3" applyNumberFormat="1" applyFont="1" applyFill="1" applyBorder="1" applyAlignment="1">
      <alignment vertical="center" wrapText="1"/>
    </xf>
    <xf numFmtId="1" fontId="11" fillId="2" borderId="1" xfId="3" applyNumberFormat="1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textRotation="90" wrapText="1"/>
    </xf>
    <xf numFmtId="0" fontId="6" fillId="0" borderId="1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textRotation="90" wrapText="1"/>
    </xf>
    <xf numFmtId="171" fontId="1" fillId="2" borderId="1" xfId="1" applyNumberFormat="1" applyFont="1" applyFill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/>
    </xf>
    <xf numFmtId="0" fontId="1" fillId="0" borderId="0" xfId="3"/>
    <xf numFmtId="0" fontId="5" fillId="0" borderId="0" xfId="3" applyFont="1" applyAlignment="1">
      <alignment horizontal="justify" vertical="center" wrapText="1"/>
    </xf>
    <xf numFmtId="0" fontId="6" fillId="0" borderId="1" xfId="3" applyFont="1" applyBorder="1" applyAlignment="1">
      <alignment horizontal="justify" vertical="center" wrapText="1"/>
    </xf>
    <xf numFmtId="0" fontId="6" fillId="0" borderId="1" xfId="3" applyFont="1" applyBorder="1" applyAlignment="1">
      <alignment horizontal="center" vertical="center" wrapText="1"/>
    </xf>
    <xf numFmtId="1" fontId="6" fillId="2" borderId="1" xfId="3" applyNumberFormat="1" applyFont="1" applyFill="1" applyBorder="1" applyAlignment="1">
      <alignment horizontal="center" vertical="center" wrapText="1"/>
    </xf>
    <xf numFmtId="0" fontId="1" fillId="0" borderId="0" xfId="3" applyFont="1" applyBorder="1" applyAlignment="1">
      <alignment vertical="center" wrapText="1"/>
    </xf>
    <xf numFmtId="0" fontId="1" fillId="0" borderId="0" xfId="3" applyFont="1" applyBorder="1" applyAlignment="1">
      <alignment horizontal="center" vertical="center" wrapText="1"/>
    </xf>
    <xf numFmtId="0" fontId="5" fillId="0" borderId="0" xfId="3" applyFont="1" applyBorder="1" applyAlignment="1">
      <alignment horizontal="justify" vertical="center" wrapText="1"/>
    </xf>
    <xf numFmtId="0" fontId="7" fillId="0" borderId="1" xfId="3" applyFont="1" applyBorder="1" applyAlignment="1">
      <alignment horizontal="justify" vertical="center" wrapText="1"/>
    </xf>
    <xf numFmtId="1" fontId="7" fillId="2" borderId="1" xfId="3" applyNumberFormat="1" applyFont="1" applyFill="1" applyBorder="1" applyAlignment="1">
      <alignment horizontal="center" vertical="center" wrapText="1"/>
    </xf>
    <xf numFmtId="1" fontId="12" fillId="2" borderId="1" xfId="3" applyNumberFormat="1" applyFont="1" applyFill="1" applyBorder="1" applyAlignment="1">
      <alignment horizontal="center" vertical="center" wrapText="1"/>
    </xf>
    <xf numFmtId="0" fontId="1" fillId="0" borderId="0" xfId="3" applyFont="1" applyBorder="1" applyAlignment="1">
      <alignment horizontal="center" vertical="center" wrapText="1"/>
    </xf>
    <xf numFmtId="0" fontId="5" fillId="0" borderId="0" xfId="3" applyFont="1" applyBorder="1" applyAlignment="1">
      <alignment horizontal="justify" vertical="center" wrapText="1"/>
    </xf>
    <xf numFmtId="1" fontId="6" fillId="2" borderId="1" xfId="3" quotePrefix="1" applyNumberFormat="1" applyFont="1" applyFill="1" applyBorder="1" applyAlignment="1">
      <alignment horizontal="center" vertical="center" wrapText="1"/>
    </xf>
    <xf numFmtId="172" fontId="6" fillId="2" borderId="1" xfId="2" applyNumberFormat="1" applyFont="1" applyFill="1" applyBorder="1" applyAlignment="1">
      <alignment horizontal="center" vertical="center" wrapText="1"/>
    </xf>
    <xf numFmtId="1" fontId="7" fillId="2" borderId="1" xfId="1" applyNumberFormat="1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justify" vertical="center" wrapText="1"/>
    </xf>
    <xf numFmtId="0" fontId="6" fillId="0" borderId="1" xfId="3" applyFont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1" fontId="6" fillId="2" borderId="1" xfId="3" applyNumberFormat="1" applyFont="1" applyFill="1" applyBorder="1" applyAlignment="1">
      <alignment horizontal="center" vertical="center" wrapText="1"/>
    </xf>
    <xf numFmtId="0" fontId="6" fillId="0" borderId="1" xfId="3" applyFont="1" applyBorder="1" applyAlignment="1">
      <alignment vertical="center" wrapText="1"/>
    </xf>
    <xf numFmtId="1" fontId="7" fillId="2" borderId="1" xfId="3" applyNumberFormat="1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0" fontId="1" fillId="0" borderId="0" xfId="3"/>
    <xf numFmtId="0" fontId="6" fillId="0" borderId="1" xfId="3" applyFont="1" applyBorder="1" applyAlignment="1">
      <alignment horizontal="center"/>
    </xf>
    <xf numFmtId="0" fontId="7" fillId="0" borderId="0" xfId="3" applyFont="1" applyFill="1" applyBorder="1" applyAlignment="1">
      <alignment horizontal="justify" vertical="center" wrapText="1"/>
    </xf>
    <xf numFmtId="0" fontId="6" fillId="0" borderId="1" xfId="3" applyFont="1" applyFill="1" applyBorder="1" applyAlignment="1">
      <alignment horizontal="justify" vertical="center" wrapText="1"/>
    </xf>
    <xf numFmtId="1" fontId="7" fillId="2" borderId="1" xfId="3" applyNumberFormat="1" applyFont="1" applyFill="1" applyBorder="1" applyAlignment="1">
      <alignment horizontal="center"/>
    </xf>
    <xf numFmtId="168" fontId="7" fillId="2" borderId="1" xfId="3" applyNumberFormat="1" applyFont="1" applyFill="1" applyBorder="1" applyAlignment="1">
      <alignment horizontal="center"/>
    </xf>
    <xf numFmtId="0" fontId="10" fillId="0" borderId="0" xfId="3" applyFont="1" applyFill="1" applyBorder="1" applyAlignment="1">
      <alignment horizontal="justify" vertical="center" wrapText="1"/>
    </xf>
  </cellXfs>
  <cellStyles count="4">
    <cellStyle name="Обычный" xfId="0" builtinId="0"/>
    <cellStyle name="Обычный 2" xfId="3" xr:uid="{DDCA5C13-0969-4129-8605-F46336500A00}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9"/>
  <sheetViews>
    <sheetView tabSelected="1" topLeftCell="M1" zoomScale="64" workbookViewId="0">
      <selection activeCell="AA7" sqref="AA7:AI7"/>
    </sheetView>
  </sheetViews>
  <sheetFormatPr defaultRowHeight="14.4" x14ac:dyDescent="0.3"/>
  <cols>
    <col min="1" max="1" width="36.77734375" customWidth="1"/>
    <col min="14" max="14" width="43.6640625" customWidth="1"/>
    <col min="27" max="27" width="38.33203125" customWidth="1"/>
    <col min="29" max="29" width="14.88671875" customWidth="1"/>
    <col min="30" max="30" width="18.6640625" customWidth="1"/>
    <col min="32" max="32" width="21.109375" customWidth="1"/>
    <col min="33" max="33" width="20.6640625" customWidth="1"/>
    <col min="39" max="39" width="36.6640625" customWidth="1"/>
    <col min="40" max="40" width="24.21875" customWidth="1"/>
    <col min="41" max="41" width="20.5546875" customWidth="1"/>
    <col min="42" max="42" width="15.33203125" customWidth="1"/>
    <col min="44" max="44" width="8.88671875" customWidth="1"/>
    <col min="47" max="47" width="53.33203125" customWidth="1"/>
    <col min="48" max="48" width="26.6640625" customWidth="1"/>
    <col min="49" max="49" width="24.21875" customWidth="1"/>
  </cols>
  <sheetData>
    <row r="1" spans="1:49" ht="15.6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  <c r="N1" s="15" t="s">
        <v>16</v>
      </c>
      <c r="O1" s="15"/>
      <c r="P1" s="15"/>
      <c r="Q1" s="15"/>
      <c r="R1" s="15"/>
      <c r="S1" s="15"/>
      <c r="T1" s="15"/>
      <c r="U1" s="15"/>
      <c r="V1" s="16"/>
      <c r="W1" s="16"/>
      <c r="X1" s="16"/>
    </row>
    <row r="2" spans="1:49" ht="31.2" customHeight="1" x14ac:dyDescent="0.3">
      <c r="A2" s="2" t="s">
        <v>1</v>
      </c>
      <c r="B2" s="12" t="s">
        <v>2</v>
      </c>
      <c r="C2" s="13"/>
      <c r="D2" s="13"/>
      <c r="E2" s="13"/>
      <c r="F2" s="13"/>
      <c r="G2" s="13"/>
      <c r="H2" s="13"/>
      <c r="I2" s="13"/>
      <c r="J2" s="13"/>
      <c r="K2" s="14"/>
      <c r="N2" s="18" t="s">
        <v>1</v>
      </c>
      <c r="O2" s="12" t="s">
        <v>2</v>
      </c>
      <c r="P2" s="13"/>
      <c r="Q2" s="13"/>
      <c r="R2" s="13"/>
      <c r="S2" s="13"/>
      <c r="T2" s="13"/>
      <c r="U2" s="13"/>
      <c r="V2" s="13"/>
      <c r="W2" s="13"/>
      <c r="X2" s="14"/>
      <c r="AA2" s="15" t="s">
        <v>35</v>
      </c>
      <c r="AB2" s="15"/>
      <c r="AC2" s="15"/>
      <c r="AD2" s="15"/>
      <c r="AE2" s="15"/>
      <c r="AF2" s="15"/>
      <c r="AG2" s="15"/>
      <c r="AH2" s="15"/>
      <c r="AI2" s="38"/>
    </row>
    <row r="3" spans="1:49" ht="15.6" x14ac:dyDescent="0.3">
      <c r="A3" s="2"/>
      <c r="B3" s="7"/>
      <c r="C3" s="8">
        <v>2</v>
      </c>
      <c r="D3" s="8"/>
      <c r="E3" s="8"/>
      <c r="F3" s="8"/>
      <c r="G3" s="8"/>
      <c r="H3" s="8"/>
      <c r="I3" s="8"/>
      <c r="J3" s="8"/>
      <c r="K3" s="8"/>
      <c r="N3" s="18"/>
      <c r="O3" s="32"/>
      <c r="P3" s="33">
        <v>2</v>
      </c>
      <c r="Q3" s="33"/>
      <c r="R3" s="33"/>
      <c r="S3" s="33"/>
      <c r="T3" s="33"/>
      <c r="U3" s="33"/>
      <c r="V3" s="33"/>
      <c r="W3" s="33"/>
      <c r="X3" s="33"/>
      <c r="AA3" s="39" t="s">
        <v>36</v>
      </c>
      <c r="AB3" s="40">
        <v>1</v>
      </c>
      <c r="AC3" s="40">
        <v>2</v>
      </c>
      <c r="AD3" s="40">
        <v>3</v>
      </c>
      <c r="AE3" s="40">
        <v>4</v>
      </c>
      <c r="AF3" s="40">
        <v>5</v>
      </c>
      <c r="AG3" s="40">
        <v>6</v>
      </c>
      <c r="AH3" s="40">
        <v>7</v>
      </c>
      <c r="AI3" s="41">
        <v>8</v>
      </c>
      <c r="AM3" s="66" t="s">
        <v>61</v>
      </c>
      <c r="AN3" s="66"/>
      <c r="AO3" s="66"/>
      <c r="AP3" s="66"/>
      <c r="AQ3" s="67"/>
      <c r="AR3" s="67"/>
    </row>
    <row r="4" spans="1:49" ht="31.8" customHeight="1" x14ac:dyDescent="0.3">
      <c r="A4" s="1" t="s">
        <v>3</v>
      </c>
      <c r="B4" s="3"/>
      <c r="C4" s="3">
        <v>365</v>
      </c>
      <c r="D4" s="3"/>
      <c r="E4" s="3"/>
      <c r="F4" s="3"/>
      <c r="G4" s="3"/>
      <c r="H4" s="3"/>
      <c r="I4" s="3"/>
      <c r="J4" s="3"/>
      <c r="K4" s="3"/>
      <c r="N4" s="17" t="s">
        <v>17</v>
      </c>
      <c r="O4" s="19"/>
      <c r="P4" s="19">
        <v>520</v>
      </c>
      <c r="Q4" s="19"/>
      <c r="R4" s="19"/>
      <c r="S4" s="19"/>
      <c r="T4" s="19"/>
      <c r="U4" s="19"/>
      <c r="V4" s="19"/>
      <c r="W4" s="19"/>
      <c r="X4" s="19"/>
      <c r="AA4" s="39" t="s">
        <v>37</v>
      </c>
      <c r="AB4" s="44">
        <f>$P$4*AB5</f>
        <v>520</v>
      </c>
      <c r="AC4" s="44">
        <f>$P$4*AC5</f>
        <v>603.19999999999993</v>
      </c>
      <c r="AD4" s="44">
        <f t="shared" ref="AD4:AH4" si="0">$P$4*AD5</f>
        <v>702</v>
      </c>
      <c r="AE4" s="44">
        <f t="shared" si="0"/>
        <v>816.4</v>
      </c>
      <c r="AF4" s="44">
        <f t="shared" si="0"/>
        <v>899.6</v>
      </c>
      <c r="AG4" s="44">
        <f t="shared" si="0"/>
        <v>988</v>
      </c>
      <c r="AH4" s="44">
        <f t="shared" si="0"/>
        <v>1055.5999999999999</v>
      </c>
      <c r="AI4" s="44">
        <f>$P$4*AI5</f>
        <v>1128.3999999999999</v>
      </c>
      <c r="AM4" s="63" t="s">
        <v>62</v>
      </c>
      <c r="AN4" s="12" t="s">
        <v>63</v>
      </c>
      <c r="AO4" s="13"/>
      <c r="AP4" s="14"/>
      <c r="AQ4" s="72"/>
      <c r="AR4" s="72"/>
    </row>
    <row r="5" spans="1:49" ht="58.2" customHeight="1" x14ac:dyDescent="0.3">
      <c r="A5" s="1" t="s">
        <v>4</v>
      </c>
      <c r="B5" s="3"/>
      <c r="C5" s="3">
        <v>112</v>
      </c>
      <c r="D5" s="3"/>
      <c r="E5" s="3"/>
      <c r="F5" s="3"/>
      <c r="G5" s="3"/>
      <c r="H5" s="3"/>
      <c r="I5" s="3"/>
      <c r="J5" s="3"/>
      <c r="K5" s="3"/>
      <c r="N5" s="17" t="s">
        <v>18</v>
      </c>
      <c r="O5" s="19"/>
      <c r="P5" s="19">
        <v>55</v>
      </c>
      <c r="Q5" s="19"/>
      <c r="R5" s="19"/>
      <c r="S5" s="19"/>
      <c r="T5" s="19"/>
      <c r="U5" s="19"/>
      <c r="V5" s="19"/>
      <c r="W5" s="19"/>
      <c r="X5" s="19"/>
      <c r="AA5" s="39" t="s">
        <v>38</v>
      </c>
      <c r="AB5" s="42">
        <v>1</v>
      </c>
      <c r="AC5" s="43">
        <v>1.1599999999999999</v>
      </c>
      <c r="AD5" s="43">
        <v>1.35</v>
      </c>
      <c r="AE5" s="43">
        <v>1.57</v>
      </c>
      <c r="AF5" s="43">
        <v>1.73</v>
      </c>
      <c r="AG5" s="43">
        <v>1.9</v>
      </c>
      <c r="AH5" s="43">
        <v>2.0299999999999998</v>
      </c>
      <c r="AI5" s="43">
        <v>2.17</v>
      </c>
      <c r="AM5" s="63"/>
      <c r="AN5" s="70" t="s">
        <v>64</v>
      </c>
      <c r="AO5" s="70" t="s">
        <v>65</v>
      </c>
      <c r="AP5" s="70" t="s">
        <v>66</v>
      </c>
      <c r="AQ5" s="73"/>
      <c r="AR5" s="74"/>
      <c r="AU5" s="92" t="s">
        <v>86</v>
      </c>
      <c r="AV5" s="90"/>
      <c r="AW5" s="90"/>
    </row>
    <row r="6" spans="1:49" ht="47.4" customHeight="1" x14ac:dyDescent="0.3">
      <c r="A6" s="1" t="s">
        <v>5</v>
      </c>
      <c r="B6" s="4"/>
      <c r="C6" s="4">
        <f>C4-C5</f>
        <v>253</v>
      </c>
      <c r="D6" s="4"/>
      <c r="E6" s="4"/>
      <c r="F6" s="4"/>
      <c r="G6" s="4"/>
      <c r="H6" s="4"/>
      <c r="I6" s="4"/>
      <c r="J6" s="4"/>
      <c r="K6" s="4"/>
      <c r="N6" s="17" t="s">
        <v>19</v>
      </c>
      <c r="O6" s="19"/>
      <c r="P6" s="19">
        <v>3</v>
      </c>
      <c r="Q6" s="19"/>
      <c r="R6" s="19"/>
      <c r="S6" s="19"/>
      <c r="T6" s="19"/>
      <c r="U6" s="19"/>
      <c r="V6" s="19"/>
      <c r="W6" s="19"/>
      <c r="X6" s="19"/>
      <c r="AA6" s="96" t="s">
        <v>95</v>
      </c>
      <c r="AM6" s="69" t="s">
        <v>67</v>
      </c>
      <c r="AN6" s="71">
        <f>AG14</f>
        <v>3733672.8</v>
      </c>
      <c r="AO6" s="71">
        <f>AG18</f>
        <v>2182580.4</v>
      </c>
      <c r="AP6" s="71">
        <f>AG22</f>
        <v>1373486.4</v>
      </c>
      <c r="AQ6" s="73"/>
      <c r="AR6" s="68"/>
      <c r="AU6" s="93" t="s">
        <v>87</v>
      </c>
      <c r="AV6" s="91" t="s">
        <v>2</v>
      </c>
      <c r="AW6" s="90"/>
    </row>
    <row r="7" spans="1:49" ht="54.6" customHeight="1" x14ac:dyDescent="0.3">
      <c r="A7" s="1" t="s">
        <v>6</v>
      </c>
      <c r="B7" s="4"/>
      <c r="C7" s="4">
        <f>C8+C9+C10+C11</f>
        <v>32</v>
      </c>
      <c r="D7" s="4"/>
      <c r="E7" s="4"/>
      <c r="F7" s="4"/>
      <c r="G7" s="4"/>
      <c r="H7" s="4"/>
      <c r="I7" s="4"/>
      <c r="J7" s="4"/>
      <c r="K7" s="4"/>
      <c r="N7" s="17" t="s">
        <v>20</v>
      </c>
      <c r="O7" s="19"/>
      <c r="P7" s="19">
        <v>15960</v>
      </c>
      <c r="Q7" s="19"/>
      <c r="R7" s="19"/>
      <c r="S7" s="19"/>
      <c r="T7" s="19"/>
      <c r="U7" s="19"/>
      <c r="V7" s="19"/>
      <c r="W7" s="19"/>
      <c r="X7" s="19"/>
      <c r="AA7" s="37" t="s">
        <v>39</v>
      </c>
      <c r="AB7" s="37"/>
      <c r="AC7" s="37"/>
      <c r="AD7" s="37"/>
      <c r="AE7" s="37"/>
      <c r="AF7" s="37"/>
      <c r="AG7" s="37"/>
      <c r="AH7" s="37"/>
      <c r="AI7" s="37"/>
      <c r="AM7" s="69" t="s">
        <v>68</v>
      </c>
      <c r="AN7" s="71">
        <f>AN6*P5/100</f>
        <v>2053520.04</v>
      </c>
      <c r="AO7" s="71">
        <f>AO6*P5/100</f>
        <v>1200419.22</v>
      </c>
      <c r="AP7" s="71">
        <f>AP6*P5/100</f>
        <v>755417.52</v>
      </c>
      <c r="AQ7" s="73"/>
      <c r="AR7" s="68"/>
      <c r="AU7" s="93" t="s">
        <v>88</v>
      </c>
      <c r="AV7" s="94">
        <f>SUM(AN13:AP13)+SUM(AS21)</f>
        <v>13914142.542986423</v>
      </c>
      <c r="AW7" s="90"/>
    </row>
    <row r="8" spans="1:49" ht="35.4" customHeight="1" x14ac:dyDescent="0.3">
      <c r="A8" s="6" t="s">
        <v>7</v>
      </c>
      <c r="B8" s="3"/>
      <c r="C8" s="5">
        <v>28</v>
      </c>
      <c r="D8" s="5"/>
      <c r="E8" s="5"/>
      <c r="F8" s="5"/>
      <c r="G8" s="5"/>
      <c r="H8" s="5"/>
      <c r="I8" s="5"/>
      <c r="J8" s="5"/>
      <c r="K8" s="5"/>
      <c r="N8" s="20" t="s">
        <v>21</v>
      </c>
      <c r="O8" s="21"/>
      <c r="P8" s="34"/>
      <c r="Q8" s="22"/>
      <c r="R8" s="22"/>
      <c r="S8" s="22"/>
      <c r="T8" s="22"/>
      <c r="U8" s="22"/>
      <c r="V8" s="22"/>
      <c r="W8" s="19"/>
      <c r="X8" s="19"/>
      <c r="AA8" s="63" t="s">
        <v>40</v>
      </c>
      <c r="AB8" s="63" t="s">
        <v>41</v>
      </c>
      <c r="AC8" s="63"/>
      <c r="AD8" s="63"/>
      <c r="AE8" s="63"/>
      <c r="AF8" s="63" t="s">
        <v>42</v>
      </c>
      <c r="AG8" s="63"/>
      <c r="AH8" s="51"/>
      <c r="AI8" s="51"/>
      <c r="AM8" s="69" t="s">
        <v>69</v>
      </c>
      <c r="AN8" s="80" t="s">
        <v>77</v>
      </c>
      <c r="AO8" s="80" t="s">
        <v>75</v>
      </c>
      <c r="AP8" s="80" t="s">
        <v>76</v>
      </c>
      <c r="AQ8" s="78"/>
      <c r="AR8" s="79"/>
      <c r="AU8" s="93" t="s">
        <v>89</v>
      </c>
      <c r="AV8" s="94">
        <f>AN21+3</f>
        <v>10</v>
      </c>
      <c r="AW8" s="90"/>
    </row>
    <row r="9" spans="1:49" ht="34.200000000000003" customHeight="1" x14ac:dyDescent="0.3">
      <c r="A9" s="6" t="s">
        <v>8</v>
      </c>
      <c r="B9" s="3"/>
      <c r="C9" s="5">
        <v>1</v>
      </c>
      <c r="D9" s="5"/>
      <c r="E9" s="5"/>
      <c r="F9" s="5"/>
      <c r="G9" s="5"/>
      <c r="H9" s="5"/>
      <c r="I9" s="5"/>
      <c r="J9" s="5"/>
      <c r="K9" s="5"/>
      <c r="N9" s="23" t="s">
        <v>22</v>
      </c>
      <c r="O9" s="24"/>
      <c r="P9" s="25">
        <v>2</v>
      </c>
      <c r="Q9" s="25"/>
      <c r="R9" s="25"/>
      <c r="S9" s="25"/>
      <c r="T9" s="25"/>
      <c r="U9" s="25"/>
      <c r="V9" s="25"/>
      <c r="W9" s="19"/>
      <c r="X9" s="19"/>
      <c r="AA9" s="63"/>
      <c r="AB9" s="64" t="s">
        <v>43</v>
      </c>
      <c r="AC9" s="63" t="s">
        <v>44</v>
      </c>
      <c r="AD9" s="63"/>
      <c r="AE9" s="64" t="s">
        <v>45</v>
      </c>
      <c r="AF9" s="63" t="s">
        <v>46</v>
      </c>
      <c r="AG9" s="63" t="s">
        <v>47</v>
      </c>
      <c r="AH9" s="51"/>
      <c r="AI9" s="51"/>
      <c r="AM9" s="69" t="s">
        <v>70</v>
      </c>
      <c r="AN9" s="71">
        <f>AN6/P6*40/100</f>
        <v>497823.03999999992</v>
      </c>
      <c r="AO9" s="71">
        <f>AO6/P6*40/100</f>
        <v>291010.71999999997</v>
      </c>
      <c r="AP9" s="71">
        <f>AP6/P6*40/100</f>
        <v>183131.51999999999</v>
      </c>
      <c r="AQ9" s="78"/>
      <c r="AR9" s="79"/>
      <c r="AU9" s="93" t="s">
        <v>90</v>
      </c>
      <c r="AV9" s="95">
        <f>AV7/AV8</f>
        <v>1391414.2542986423</v>
      </c>
    </row>
    <row r="10" spans="1:49" ht="34.200000000000003" customHeight="1" x14ac:dyDescent="0.3">
      <c r="A10" s="6" t="s">
        <v>9</v>
      </c>
      <c r="B10" s="3"/>
      <c r="C10" s="5">
        <v>2</v>
      </c>
      <c r="D10" s="5"/>
      <c r="E10" s="5"/>
      <c r="F10" s="5"/>
      <c r="G10" s="5"/>
      <c r="H10" s="5"/>
      <c r="I10" s="5"/>
      <c r="J10" s="5"/>
      <c r="K10" s="5"/>
      <c r="N10" s="23" t="s">
        <v>23</v>
      </c>
      <c r="O10" s="24"/>
      <c r="P10" s="25">
        <v>4</v>
      </c>
      <c r="Q10" s="25"/>
      <c r="R10" s="25"/>
      <c r="S10" s="25"/>
      <c r="T10" s="25"/>
      <c r="U10" s="25"/>
      <c r="V10" s="25"/>
      <c r="W10" s="19"/>
      <c r="X10" s="19"/>
      <c r="AA10" s="63"/>
      <c r="AB10" s="64"/>
      <c r="AC10" s="62" t="s">
        <v>48</v>
      </c>
      <c r="AD10" s="62" t="s">
        <v>49</v>
      </c>
      <c r="AE10" s="64"/>
      <c r="AF10" s="63"/>
      <c r="AG10" s="63"/>
      <c r="AH10" s="51"/>
      <c r="AI10" s="51"/>
      <c r="AM10" s="69" t="s">
        <v>71</v>
      </c>
      <c r="AN10" s="76">
        <f>SUM(AN6:AN9)</f>
        <v>6285015.8799999999</v>
      </c>
      <c r="AO10" s="76">
        <f>SUM(AO6:AO9)</f>
        <v>3674010.34</v>
      </c>
      <c r="AP10" s="76">
        <f t="shared" ref="AO10:AP10" si="1">SUM(AP6:AP9)</f>
        <v>2312035.44</v>
      </c>
      <c r="AQ10" s="73"/>
      <c r="AR10" s="68"/>
      <c r="AU10" s="93" t="s">
        <v>91</v>
      </c>
      <c r="AV10" s="95">
        <f>AV9/12</f>
        <v>115951.18785822019</v>
      </c>
    </row>
    <row r="11" spans="1:49" ht="32.4" customHeight="1" x14ac:dyDescent="0.3">
      <c r="A11" s="6" t="s">
        <v>10</v>
      </c>
      <c r="B11" s="3"/>
      <c r="C11" s="3">
        <v>1</v>
      </c>
      <c r="D11" s="3"/>
      <c r="E11" s="3"/>
      <c r="F11" s="3"/>
      <c r="G11" s="3"/>
      <c r="H11" s="3"/>
      <c r="I11" s="3"/>
      <c r="J11" s="3"/>
      <c r="K11" s="3"/>
      <c r="N11" s="26" t="s">
        <v>24</v>
      </c>
      <c r="O11" s="24"/>
      <c r="P11" s="25">
        <v>1</v>
      </c>
      <c r="Q11" s="25"/>
      <c r="R11" s="25"/>
      <c r="S11" s="25"/>
      <c r="T11" s="25"/>
      <c r="U11" s="25"/>
      <c r="V11" s="25"/>
      <c r="W11" s="19"/>
      <c r="X11" s="19"/>
      <c r="AA11" s="48" t="s">
        <v>50</v>
      </c>
      <c r="AB11" s="48"/>
      <c r="AC11" s="48"/>
      <c r="AD11" s="48"/>
      <c r="AE11" s="48"/>
      <c r="AF11" s="48"/>
      <c r="AG11" s="48"/>
      <c r="AH11" s="51"/>
      <c r="AI11" s="51"/>
      <c r="AM11" s="69" t="s">
        <v>72</v>
      </c>
      <c r="AN11" s="81">
        <f>(C8+C11)/C12</f>
        <v>0.13122171945701358</v>
      </c>
      <c r="AO11" s="81">
        <f>(C8+C11)/C12</f>
        <v>0.13122171945701358</v>
      </c>
      <c r="AP11" s="81">
        <f>(C8+C11)/C12</f>
        <v>0.13122171945701358</v>
      </c>
      <c r="AQ11" s="73"/>
      <c r="AR11" s="68"/>
      <c r="AU11" s="93" t="s">
        <v>92</v>
      </c>
      <c r="AV11" s="95"/>
    </row>
    <row r="12" spans="1:49" ht="45" customHeight="1" x14ac:dyDescent="0.3">
      <c r="A12" s="1" t="s">
        <v>11</v>
      </c>
      <c r="B12" s="4"/>
      <c r="C12" s="4">
        <f>C6-C7</f>
        <v>221</v>
      </c>
      <c r="D12" s="4"/>
      <c r="E12" s="4"/>
      <c r="F12" s="4"/>
      <c r="G12" s="4"/>
      <c r="H12" s="4"/>
      <c r="I12" s="4"/>
      <c r="J12" s="4"/>
      <c r="K12" s="4"/>
      <c r="N12" s="26" t="s">
        <v>25</v>
      </c>
      <c r="O12" s="24"/>
      <c r="P12" s="25">
        <v>2</v>
      </c>
      <c r="Q12" s="25"/>
      <c r="R12" s="25"/>
      <c r="S12" s="25"/>
      <c r="T12" s="25"/>
      <c r="U12" s="25"/>
      <c r="V12" s="25"/>
      <c r="W12" s="19"/>
      <c r="X12" s="19"/>
      <c r="AA12" s="45" t="s">
        <v>51</v>
      </c>
      <c r="AB12" s="49">
        <f>P16</f>
        <v>7</v>
      </c>
      <c r="AC12" s="49">
        <f>P9</f>
        <v>2</v>
      </c>
      <c r="AD12" s="50">
        <f>P6*AC12</f>
        <v>6</v>
      </c>
      <c r="AE12" s="65">
        <f>C6/C12*AD12</f>
        <v>6.868778280542986</v>
      </c>
      <c r="AF12" s="49">
        <f>AE12*C12</f>
        <v>1518</v>
      </c>
      <c r="AG12" s="49">
        <f>AF12*AH4</f>
        <v>1602400.7999999998</v>
      </c>
      <c r="AH12" s="52"/>
      <c r="AI12" s="52"/>
      <c r="AM12" s="69" t="s">
        <v>73</v>
      </c>
      <c r="AN12" s="82">
        <f>AN10*AN11</f>
        <v>824730.5905882353</v>
      </c>
      <c r="AO12" s="82">
        <f>AO10*AO11</f>
        <v>482109.95411764708</v>
      </c>
      <c r="AP12" s="82">
        <f>AP10*AP11</f>
        <v>303389.26588235295</v>
      </c>
      <c r="AQ12" s="73"/>
      <c r="AR12" s="68"/>
      <c r="AU12" s="93" t="s">
        <v>93</v>
      </c>
      <c r="AV12" s="95"/>
    </row>
    <row r="13" spans="1:49" ht="75" customHeight="1" x14ac:dyDescent="0.3">
      <c r="A13" s="1" t="s">
        <v>12</v>
      </c>
      <c r="B13" s="4"/>
      <c r="C13" s="4">
        <f>C12*8</f>
        <v>1768</v>
      </c>
      <c r="D13" s="4"/>
      <c r="E13" s="4"/>
      <c r="F13" s="4"/>
      <c r="G13" s="4"/>
      <c r="H13" s="4"/>
      <c r="I13" s="4"/>
      <c r="J13" s="4"/>
      <c r="K13" s="4"/>
      <c r="N13" s="26" t="s">
        <v>26</v>
      </c>
      <c r="O13" s="24"/>
      <c r="P13" s="25">
        <v>2</v>
      </c>
      <c r="Q13" s="25"/>
      <c r="R13" s="25"/>
      <c r="S13" s="25"/>
      <c r="T13" s="25"/>
      <c r="U13" s="25"/>
      <c r="V13" s="25"/>
      <c r="W13" s="19"/>
      <c r="X13" s="19"/>
      <c r="AA13" s="45" t="s">
        <v>52</v>
      </c>
      <c r="AB13" s="49">
        <f>P17</f>
        <v>3</v>
      </c>
      <c r="AC13" s="49">
        <f>P10</f>
        <v>4</v>
      </c>
      <c r="AD13" s="50">
        <f>P6*AC13</f>
        <v>12</v>
      </c>
      <c r="AE13" s="49">
        <f>C6/C12*AD13</f>
        <v>13.737556561085972</v>
      </c>
      <c r="AF13" s="49">
        <f>AE13*C12</f>
        <v>3036</v>
      </c>
      <c r="AG13" s="49">
        <f>AF13*AD4</f>
        <v>2131272</v>
      </c>
      <c r="AH13" s="52"/>
      <c r="AI13" s="52"/>
      <c r="AM13" s="75" t="s">
        <v>74</v>
      </c>
      <c r="AN13" s="77">
        <f>AN10+AN12</f>
        <v>7109746.4705882352</v>
      </c>
      <c r="AO13" s="77">
        <f>AO10+AO12</f>
        <v>4156120.2941176468</v>
      </c>
      <c r="AP13" s="77">
        <f>AP10+AP12</f>
        <v>2615424.7058823528</v>
      </c>
      <c r="AQ13" s="72"/>
      <c r="AR13" s="72"/>
      <c r="AU13" s="93" t="s">
        <v>94</v>
      </c>
      <c r="AV13" s="95"/>
    </row>
    <row r="14" spans="1:49" ht="26.4" customHeight="1" x14ac:dyDescent="0.3">
      <c r="A14" s="1" t="s">
        <v>13</v>
      </c>
      <c r="B14" s="3"/>
      <c r="C14" s="3">
        <v>9</v>
      </c>
      <c r="D14" s="3"/>
      <c r="E14" s="3"/>
      <c r="F14" s="3"/>
      <c r="G14" s="3"/>
      <c r="H14" s="3"/>
      <c r="I14" s="3"/>
      <c r="J14" s="3"/>
      <c r="K14" s="3"/>
      <c r="N14" s="23" t="s">
        <v>27</v>
      </c>
      <c r="O14" s="24"/>
      <c r="P14" s="25">
        <v>1</v>
      </c>
      <c r="Q14" s="25"/>
      <c r="R14" s="25"/>
      <c r="S14" s="25"/>
      <c r="T14" s="25"/>
      <c r="U14" s="25"/>
      <c r="V14" s="25"/>
      <c r="W14" s="19"/>
      <c r="X14" s="19"/>
      <c r="AA14" s="47" t="s">
        <v>53</v>
      </c>
      <c r="AB14" s="46"/>
      <c r="AC14" s="57">
        <f>AC12+AC13</f>
        <v>6</v>
      </c>
      <c r="AD14" s="57">
        <f>AD12+AD13</f>
        <v>18</v>
      </c>
      <c r="AE14" s="57">
        <f>AE12+AE13</f>
        <v>20.606334841628957</v>
      </c>
      <c r="AF14" s="57">
        <f>AF12+AF13</f>
        <v>4554</v>
      </c>
      <c r="AG14" s="57">
        <f>AG12+AG13</f>
        <v>3733672.8</v>
      </c>
      <c r="AH14" s="52"/>
      <c r="AI14" s="52"/>
    </row>
    <row r="15" spans="1:49" ht="39.6" customHeight="1" x14ac:dyDescent="0.3">
      <c r="A15" s="1" t="s">
        <v>14</v>
      </c>
      <c r="B15" s="4"/>
      <c r="C15" s="4">
        <f>C13-C14</f>
        <v>1759</v>
      </c>
      <c r="D15" s="4"/>
      <c r="E15" s="4"/>
      <c r="F15" s="4"/>
      <c r="G15" s="4"/>
      <c r="H15" s="4"/>
      <c r="I15" s="4"/>
      <c r="J15" s="4"/>
      <c r="K15" s="4"/>
      <c r="N15" s="29" t="s">
        <v>28</v>
      </c>
      <c r="O15" s="27"/>
      <c r="P15" s="35"/>
      <c r="Q15" s="28"/>
      <c r="R15" s="28"/>
      <c r="S15" s="28"/>
      <c r="T15" s="28"/>
      <c r="U15" s="28"/>
      <c r="V15" s="28"/>
      <c r="W15" s="19"/>
      <c r="X15" s="19"/>
      <c r="AA15" s="48" t="s">
        <v>54</v>
      </c>
      <c r="AB15" s="48"/>
      <c r="AC15" s="48"/>
      <c r="AD15" s="54"/>
      <c r="AE15" s="59"/>
      <c r="AF15" s="59"/>
      <c r="AG15" s="60"/>
      <c r="AH15" s="51"/>
      <c r="AI15" s="51"/>
      <c r="AM15" s="37" t="s">
        <v>78</v>
      </c>
      <c r="AN15" s="37"/>
      <c r="AO15" s="37"/>
      <c r="AP15" s="37"/>
      <c r="AQ15" s="37"/>
      <c r="AR15" s="37"/>
      <c r="AS15" s="37"/>
    </row>
    <row r="16" spans="1:49" ht="47.4" customHeight="1" x14ac:dyDescent="0.3">
      <c r="A16" s="1" t="s">
        <v>15</v>
      </c>
      <c r="B16" s="4"/>
      <c r="C16" s="4">
        <f>C15/12</f>
        <v>146.58333333333334</v>
      </c>
      <c r="D16" s="4"/>
      <c r="E16" s="4"/>
      <c r="F16" s="4"/>
      <c r="G16" s="4"/>
      <c r="H16" s="4"/>
      <c r="I16" s="4"/>
      <c r="J16" s="4"/>
      <c r="K16" s="4"/>
      <c r="N16" s="23" t="s">
        <v>22</v>
      </c>
      <c r="O16" s="27"/>
      <c r="P16" s="28">
        <v>7</v>
      </c>
      <c r="Q16" s="28"/>
      <c r="R16" s="28"/>
      <c r="S16" s="28"/>
      <c r="T16" s="28"/>
      <c r="U16" s="28"/>
      <c r="V16" s="28"/>
      <c r="W16" s="19"/>
      <c r="X16" s="19"/>
      <c r="AA16" s="47" t="s">
        <v>55</v>
      </c>
      <c r="AB16" s="49">
        <f>P18</f>
        <v>5</v>
      </c>
      <c r="AC16" s="49">
        <f>P11</f>
        <v>1</v>
      </c>
      <c r="AD16" s="50">
        <f>AC16*P6</f>
        <v>3</v>
      </c>
      <c r="AE16" s="49">
        <f>$C$6/$C$12*AD16</f>
        <v>3.434389140271493</v>
      </c>
      <c r="AF16" s="49">
        <f>AE16*$C$12</f>
        <v>759</v>
      </c>
      <c r="AG16" s="56">
        <f>AF16*AF4</f>
        <v>682796.4</v>
      </c>
      <c r="AH16" s="52"/>
      <c r="AI16" s="53"/>
      <c r="AM16" s="84" t="s">
        <v>79</v>
      </c>
      <c r="AN16" s="64" t="s">
        <v>80</v>
      </c>
      <c r="AO16" s="63" t="s">
        <v>33</v>
      </c>
      <c r="AP16" s="12" t="s">
        <v>63</v>
      </c>
      <c r="AQ16" s="13"/>
      <c r="AR16" s="13"/>
      <c r="AS16" s="14"/>
    </row>
    <row r="17" spans="14:45" ht="62.4" x14ac:dyDescent="0.3">
      <c r="N17" s="23" t="s">
        <v>23</v>
      </c>
      <c r="O17" s="27"/>
      <c r="P17" s="28">
        <v>3</v>
      </c>
      <c r="Q17" s="28"/>
      <c r="R17" s="28"/>
      <c r="S17" s="28"/>
      <c r="T17" s="28"/>
      <c r="U17" s="28"/>
      <c r="V17" s="28"/>
      <c r="W17" s="19"/>
      <c r="X17" s="19"/>
      <c r="AA17" s="47" t="s">
        <v>56</v>
      </c>
      <c r="AB17" s="49">
        <f>P19</f>
        <v>6</v>
      </c>
      <c r="AC17" s="49">
        <f>P12</f>
        <v>2</v>
      </c>
      <c r="AD17" s="50">
        <f>AC17*P6</f>
        <v>6</v>
      </c>
      <c r="AE17" s="49">
        <f t="shared" ref="AE17" si="2">$C$6/$C$12*AD17</f>
        <v>6.868778280542986</v>
      </c>
      <c r="AF17" s="49">
        <f t="shared" ref="AF17:AF18" si="3">AE17*$C$12</f>
        <v>1518</v>
      </c>
      <c r="AG17" s="56">
        <f>AF17*AG4</f>
        <v>1499784</v>
      </c>
      <c r="AH17" s="52"/>
      <c r="AI17" s="52"/>
      <c r="AM17" s="84"/>
      <c r="AN17" s="64"/>
      <c r="AO17" s="63"/>
      <c r="AP17" s="84" t="s">
        <v>81</v>
      </c>
      <c r="AQ17" s="84" t="s">
        <v>82</v>
      </c>
      <c r="AR17" s="84" t="s">
        <v>83</v>
      </c>
      <c r="AS17" s="84" t="s">
        <v>84</v>
      </c>
    </row>
    <row r="18" spans="14:45" ht="15.6" x14ac:dyDescent="0.3">
      <c r="N18" s="26" t="s">
        <v>24</v>
      </c>
      <c r="O18" s="27"/>
      <c r="P18" s="28">
        <v>5</v>
      </c>
      <c r="Q18" s="28"/>
      <c r="R18" s="28"/>
      <c r="S18" s="28"/>
      <c r="T18" s="28"/>
      <c r="U18" s="28"/>
      <c r="V18" s="28"/>
      <c r="W18" s="19"/>
      <c r="X18" s="19"/>
      <c r="AA18" s="47" t="s">
        <v>53</v>
      </c>
      <c r="AB18" s="59"/>
      <c r="AC18" s="58">
        <f>AC16+AC17</f>
        <v>3</v>
      </c>
      <c r="AD18" s="58">
        <f>AC18*P6</f>
        <v>9</v>
      </c>
      <c r="AE18" s="49">
        <f>$C$6/$C$12*AD18</f>
        <v>10.303167420814479</v>
      </c>
      <c r="AF18" s="49">
        <f t="shared" si="3"/>
        <v>2276.9999999999995</v>
      </c>
      <c r="AG18" s="58">
        <f>AG16+AG17</f>
        <v>2182580.4</v>
      </c>
      <c r="AH18" s="52"/>
      <c r="AI18" s="52"/>
      <c r="AM18" s="89" t="s">
        <v>34</v>
      </c>
      <c r="AN18" s="86">
        <f>P23</f>
        <v>2</v>
      </c>
      <c r="AO18" s="86">
        <f>P27</f>
        <v>3100</v>
      </c>
      <c r="AP18" s="85">
        <f>AO18*AN18</f>
        <v>6200</v>
      </c>
      <c r="AQ18" s="86">
        <f>AP18*$P$5/100</f>
        <v>3410</v>
      </c>
      <c r="AR18" s="86">
        <f>AP18*AN11</f>
        <v>813.5746606334842</v>
      </c>
      <c r="AS18" s="86">
        <f>SUM(AP18:AR18)</f>
        <v>10423.574660633483</v>
      </c>
    </row>
    <row r="19" spans="14:45" ht="15.6" x14ac:dyDescent="0.3">
      <c r="N19" s="26" t="s">
        <v>25</v>
      </c>
      <c r="O19" s="27"/>
      <c r="P19" s="28">
        <v>6</v>
      </c>
      <c r="Q19" s="28"/>
      <c r="R19" s="28"/>
      <c r="S19" s="28"/>
      <c r="T19" s="28"/>
      <c r="U19" s="28"/>
      <c r="V19" s="28"/>
      <c r="W19" s="19"/>
      <c r="X19" s="19"/>
      <c r="AA19" s="48" t="s">
        <v>57</v>
      </c>
      <c r="AB19" s="48"/>
      <c r="AC19" s="48"/>
      <c r="AD19" s="54"/>
      <c r="AE19" s="59"/>
      <c r="AF19" s="59"/>
      <c r="AG19" s="55"/>
      <c r="AH19" s="51"/>
      <c r="AI19" s="51"/>
      <c r="AM19" s="83" t="s">
        <v>31</v>
      </c>
      <c r="AN19" s="86">
        <f>P24</f>
        <v>2</v>
      </c>
      <c r="AO19" s="86">
        <f>P28</f>
        <v>2800</v>
      </c>
      <c r="AP19" s="85">
        <f>AO19*AN19</f>
        <v>5600</v>
      </c>
      <c r="AQ19" s="86">
        <f t="shared" ref="AQ19:AQ20" si="4">AP19*$P$5/100</f>
        <v>3080</v>
      </c>
      <c r="AR19" s="86">
        <f>AP19*AN11</f>
        <v>734.84162895927602</v>
      </c>
      <c r="AS19" s="86">
        <f t="shared" ref="AS19:AS20" si="5">SUM(AP19:AR19)</f>
        <v>9414.8416289592751</v>
      </c>
    </row>
    <row r="20" spans="14:45" ht="15.6" x14ac:dyDescent="0.3">
      <c r="N20" s="26" t="s">
        <v>26</v>
      </c>
      <c r="O20" s="27"/>
      <c r="P20" s="28">
        <v>2</v>
      </c>
      <c r="Q20" s="28"/>
      <c r="R20" s="28"/>
      <c r="S20" s="28"/>
      <c r="T20" s="28"/>
      <c r="U20" s="28"/>
      <c r="V20" s="28"/>
      <c r="W20" s="19"/>
      <c r="X20" s="19"/>
      <c r="AA20" s="47" t="s">
        <v>58</v>
      </c>
      <c r="AB20" s="49">
        <f>P20</f>
        <v>2</v>
      </c>
      <c r="AC20" s="49">
        <f>P13</f>
        <v>2</v>
      </c>
      <c r="AD20" s="50">
        <f>AC20*P6</f>
        <v>6</v>
      </c>
      <c r="AE20" s="49">
        <f>$C$6/$C$12*AD20</f>
        <v>6.868778280542986</v>
      </c>
      <c r="AF20" s="49">
        <f>AE20*$C$12</f>
        <v>1518</v>
      </c>
      <c r="AG20" s="56">
        <f>AF20*AC4</f>
        <v>915657.59999999986</v>
      </c>
      <c r="AH20" s="52"/>
      <c r="AI20" s="52"/>
      <c r="AM20" s="83" t="s">
        <v>32</v>
      </c>
      <c r="AN20" s="86">
        <f>P25</f>
        <v>3</v>
      </c>
      <c r="AO20" s="86">
        <f>P29</f>
        <v>2580</v>
      </c>
      <c r="AP20" s="85">
        <f>AO20*AN20</f>
        <v>7740</v>
      </c>
      <c r="AQ20" s="86">
        <f t="shared" si="4"/>
        <v>4257</v>
      </c>
      <c r="AR20" s="86">
        <f>AP20*AP11</f>
        <v>1015.6561085972851</v>
      </c>
      <c r="AS20" s="86">
        <f>SUM(AP20:AR20)</f>
        <v>13012.656108597284</v>
      </c>
    </row>
    <row r="21" spans="14:45" ht="15.6" x14ac:dyDescent="0.3">
      <c r="N21" s="23" t="s">
        <v>27</v>
      </c>
      <c r="O21" s="27"/>
      <c r="P21" s="28">
        <v>2</v>
      </c>
      <c r="Q21" s="28"/>
      <c r="R21" s="28"/>
      <c r="S21" s="28"/>
      <c r="T21" s="28"/>
      <c r="U21" s="28"/>
      <c r="V21" s="28"/>
      <c r="W21" s="19"/>
      <c r="X21" s="19"/>
      <c r="AA21" s="47" t="s">
        <v>59</v>
      </c>
      <c r="AB21" s="49">
        <f>P21</f>
        <v>2</v>
      </c>
      <c r="AC21" s="49">
        <f>P14</f>
        <v>1</v>
      </c>
      <c r="AD21" s="50">
        <f>AC21*P6</f>
        <v>3</v>
      </c>
      <c r="AE21" s="49">
        <f t="shared" ref="AE21" si="6">$C$6/$C$12*AD21</f>
        <v>3.434389140271493</v>
      </c>
      <c r="AF21" s="49">
        <f t="shared" ref="AF21:AF22" si="7">AE21*$C$12</f>
        <v>759</v>
      </c>
      <c r="AG21" s="56">
        <f>AF21*AC4</f>
        <v>457828.79999999993</v>
      </c>
      <c r="AH21" s="52"/>
      <c r="AI21" s="52"/>
      <c r="AM21" s="83" t="s">
        <v>85</v>
      </c>
      <c r="AN21" s="88">
        <f>AN18+AN19+AN20</f>
        <v>7</v>
      </c>
      <c r="AO21" s="87"/>
      <c r="AP21" s="88">
        <f>SUM(AP18:AP20)</f>
        <v>19540</v>
      </c>
      <c r="AQ21" s="88">
        <f>SUM(AQ18:AQ20)</f>
        <v>10747</v>
      </c>
      <c r="AR21" s="88">
        <f>SUM(AR18:AR20)</f>
        <v>2564.0723981900455</v>
      </c>
      <c r="AS21" s="88">
        <f>SUM(AS18:AS20)</f>
        <v>32851.072398190045</v>
      </c>
    </row>
    <row r="22" spans="14:45" ht="15.6" x14ac:dyDescent="0.3">
      <c r="N22" s="30" t="s">
        <v>29</v>
      </c>
      <c r="O22" s="24"/>
      <c r="P22" s="25"/>
      <c r="Q22" s="25"/>
      <c r="R22" s="25"/>
      <c r="S22" s="25"/>
      <c r="T22" s="25"/>
      <c r="U22" s="25"/>
      <c r="V22" s="25"/>
      <c r="W22" s="19"/>
      <c r="X22" s="19"/>
      <c r="AA22" s="47" t="s">
        <v>53</v>
      </c>
      <c r="AB22" s="46"/>
      <c r="AC22" s="57">
        <f>AC21+AC20</f>
        <v>3</v>
      </c>
      <c r="AD22" s="57">
        <f>AC22*P6</f>
        <v>9</v>
      </c>
      <c r="AE22" s="49">
        <f>AE20+AE21</f>
        <v>10.303167420814479</v>
      </c>
      <c r="AF22" s="49">
        <f t="shared" si="7"/>
        <v>2276.9999999999995</v>
      </c>
      <c r="AG22" s="58">
        <f>AG20+AG21</f>
        <v>1373486.4</v>
      </c>
      <c r="AH22" s="52"/>
      <c r="AI22" s="52"/>
    </row>
    <row r="23" spans="14:45" ht="15.6" x14ac:dyDescent="0.3">
      <c r="N23" s="26" t="s">
        <v>30</v>
      </c>
      <c r="O23" s="24"/>
      <c r="P23" s="25">
        <v>2</v>
      </c>
      <c r="Q23" s="25"/>
      <c r="R23" s="25"/>
      <c r="S23" s="25"/>
      <c r="T23" s="25"/>
      <c r="U23" s="25"/>
      <c r="V23" s="25"/>
      <c r="W23" s="19"/>
      <c r="X23" s="19"/>
      <c r="AA23" s="47" t="s">
        <v>60</v>
      </c>
      <c r="AB23" s="46"/>
      <c r="AC23" s="61">
        <f>AC14+AC22</f>
        <v>9</v>
      </c>
      <c r="AD23" s="61">
        <f>AD22+AD14</f>
        <v>27</v>
      </c>
      <c r="AE23" s="61">
        <f>AE22+AE14</f>
        <v>30.909502262443436</v>
      </c>
      <c r="AF23" s="61">
        <f>AF14+AF22</f>
        <v>6831</v>
      </c>
      <c r="AG23" s="61">
        <f>AG14+AG22</f>
        <v>5107159.1999999993</v>
      </c>
      <c r="AH23" s="52"/>
      <c r="AI23" s="52"/>
    </row>
    <row r="24" spans="14:45" ht="15.6" x14ac:dyDescent="0.3">
      <c r="N24" s="26" t="s">
        <v>31</v>
      </c>
      <c r="O24" s="24"/>
      <c r="P24" s="25">
        <v>2</v>
      </c>
      <c r="Q24" s="25"/>
      <c r="R24" s="25"/>
      <c r="S24" s="25"/>
      <c r="T24" s="25"/>
      <c r="U24" s="25"/>
      <c r="V24" s="25"/>
      <c r="W24" s="19"/>
      <c r="X24" s="19"/>
    </row>
    <row r="25" spans="14:45" ht="15.6" x14ac:dyDescent="0.3">
      <c r="N25" s="26" t="s">
        <v>32</v>
      </c>
      <c r="O25" s="24"/>
      <c r="P25" s="25">
        <v>3</v>
      </c>
      <c r="Q25" s="25"/>
      <c r="R25" s="25"/>
      <c r="S25" s="25"/>
      <c r="T25" s="25"/>
      <c r="U25" s="25"/>
      <c r="V25" s="25"/>
      <c r="W25" s="19"/>
      <c r="X25" s="19"/>
    </row>
    <row r="26" spans="14:45" ht="15.6" x14ac:dyDescent="0.3">
      <c r="N26" s="31" t="s">
        <v>33</v>
      </c>
      <c r="O26" s="24"/>
      <c r="P26" s="36"/>
      <c r="Q26" s="25"/>
      <c r="R26" s="25"/>
      <c r="S26" s="25"/>
      <c r="T26" s="25"/>
      <c r="U26" s="25"/>
      <c r="V26" s="25"/>
      <c r="W26" s="19"/>
      <c r="X26" s="19"/>
    </row>
    <row r="27" spans="14:45" ht="15.6" x14ac:dyDescent="0.3">
      <c r="N27" s="26" t="s">
        <v>34</v>
      </c>
      <c r="O27" s="24"/>
      <c r="P27" s="25">
        <v>3100</v>
      </c>
      <c r="Q27" s="25"/>
      <c r="R27" s="25"/>
      <c r="S27" s="25"/>
      <c r="T27" s="25"/>
      <c r="U27" s="25"/>
      <c r="V27" s="25"/>
      <c r="W27" s="19"/>
      <c r="X27" s="19"/>
    </row>
    <row r="28" spans="14:45" ht="15.6" x14ac:dyDescent="0.3">
      <c r="N28" s="26" t="s">
        <v>31</v>
      </c>
      <c r="O28" s="24"/>
      <c r="P28" s="25">
        <v>2800</v>
      </c>
      <c r="Q28" s="25"/>
      <c r="R28" s="25"/>
      <c r="S28" s="25"/>
      <c r="T28" s="25"/>
      <c r="U28" s="25"/>
      <c r="V28" s="25"/>
      <c r="W28" s="19"/>
      <c r="X28" s="19"/>
    </row>
    <row r="29" spans="14:45" ht="15.6" x14ac:dyDescent="0.3">
      <c r="N29" s="26" t="s">
        <v>32</v>
      </c>
      <c r="O29" s="24"/>
      <c r="P29" s="25">
        <v>2580</v>
      </c>
      <c r="Q29" s="25"/>
      <c r="R29" s="25"/>
      <c r="S29" s="25"/>
      <c r="T29" s="25"/>
      <c r="U29" s="25"/>
      <c r="V29" s="25"/>
      <c r="W29" s="19"/>
      <c r="X29" s="19"/>
    </row>
  </sheetData>
  <mergeCells count="23">
    <mergeCell ref="AM15:AS15"/>
    <mergeCell ref="AN16:AN17"/>
    <mergeCell ref="AO16:AO17"/>
    <mergeCell ref="AP16:AS16"/>
    <mergeCell ref="AM3:AP3"/>
    <mergeCell ref="AQ8:AQ9"/>
    <mergeCell ref="AR8:AR9"/>
    <mergeCell ref="AM4:AM5"/>
    <mergeCell ref="AN4:AP4"/>
    <mergeCell ref="AA7:AI7"/>
    <mergeCell ref="AB8:AE8"/>
    <mergeCell ref="AF8:AG8"/>
    <mergeCell ref="AA8:AA10"/>
    <mergeCell ref="AB9:AB10"/>
    <mergeCell ref="AC9:AD9"/>
    <mergeCell ref="AE9:AE10"/>
    <mergeCell ref="AF9:AF10"/>
    <mergeCell ref="AG9:AG10"/>
    <mergeCell ref="A1:K1"/>
    <mergeCell ref="B2:K2"/>
    <mergeCell ref="N1:U1"/>
    <mergeCell ref="O2:X2"/>
    <mergeCell ref="AA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Ghigher GG</dc:creator>
  <cp:lastModifiedBy>Ghigher GG</cp:lastModifiedBy>
  <dcterms:created xsi:type="dcterms:W3CDTF">2015-06-05T18:19:34Z</dcterms:created>
  <dcterms:modified xsi:type="dcterms:W3CDTF">2026-03-19T06:23:18Z</dcterms:modified>
</cp:coreProperties>
</file>