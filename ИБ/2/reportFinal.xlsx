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668F66C9-6D31-4A91-A031-5C0214FF49EB}" xr6:coauthVersionLast="47" xr6:coauthVersionMax="47" xr10:uidLastSave="{00000000-0000-0000-0000-000000000000}"/>
  <bookViews>
    <workbookView xWindow="-108" yWindow="-108" windowWidth="23256" windowHeight="13176" xr2:uid="{00000000-000D-0000-FFFF-FFFF00000000}"/>
  </bookViews>
  <sheets>
    <sheet name="Чувашский" sheetId="1" r:id="rId1"/>
    <sheet name="Албанский" sheetId="2" r:id="rId2"/>
    <sheet name="Бинарные"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7" i="1" l="1"/>
  <c r="I10" i="2"/>
  <c r="I10" i="1"/>
</calcChain>
</file>

<file path=xl/sharedStrings.xml><?xml version="1.0" encoding="utf-8"?>
<sst xmlns="http://schemas.openxmlformats.org/spreadsheetml/2006/main" count="172" uniqueCount="90">
  <si>
    <t>Буква</t>
  </si>
  <si>
    <t>Частота</t>
  </si>
  <si>
    <t>Вероятность</t>
  </si>
  <si>
    <t>%</t>
  </si>
  <si>
    <t>Энтропия</t>
  </si>
  <si>
    <t>А</t>
  </si>
  <si>
    <t>Е</t>
  </si>
  <si>
    <t>Н</t>
  </si>
  <si>
    <t>Р</t>
  </si>
  <si>
    <t>Т</t>
  </si>
  <si>
    <t>Л</t>
  </si>
  <si>
    <t>Ă</t>
  </si>
  <si>
    <t>С</t>
  </si>
  <si>
    <t>Ĕ</t>
  </si>
  <si>
    <t>H=</t>
  </si>
  <si>
    <t>И</t>
  </si>
  <si>
    <t>М</t>
  </si>
  <si>
    <t>ФИО:</t>
  </si>
  <si>
    <t>ДМИТРОЧЕНКОКИРИЛЛДЕНИСОВИЧ</t>
  </si>
  <si>
    <t>П</t>
  </si>
  <si>
    <t>Длина:</t>
  </si>
  <si>
    <t>К</t>
  </si>
  <si>
    <t>Информация (биты):</t>
  </si>
  <si>
    <t>У</t>
  </si>
  <si>
    <t>Ç</t>
  </si>
  <si>
    <t>Х</t>
  </si>
  <si>
    <t>Ш</t>
  </si>
  <si>
    <t>В</t>
  </si>
  <si>
    <t>Ч</t>
  </si>
  <si>
    <t>Ы</t>
  </si>
  <si>
    <t>Й</t>
  </si>
  <si>
    <t>О</t>
  </si>
  <si>
    <t>Д</t>
  </si>
  <si>
    <t>З</t>
  </si>
  <si>
    <t>Я</t>
  </si>
  <si>
    <t>Ь</t>
  </si>
  <si>
    <t>Г</t>
  </si>
  <si>
    <t>Ф</t>
  </si>
  <si>
    <t>Ÿ</t>
  </si>
  <si>
    <t>Ж</t>
  </si>
  <si>
    <t>Ю</t>
  </si>
  <si>
    <t>Э</t>
  </si>
  <si>
    <t>Б</t>
  </si>
  <si>
    <t>Ц</t>
  </si>
  <si>
    <t>Щ</t>
  </si>
  <si>
    <t>Ë</t>
  </si>
  <si>
    <t>E</t>
  </si>
  <si>
    <t>R</t>
  </si>
  <si>
    <t>T</t>
  </si>
  <si>
    <t>N</t>
  </si>
  <si>
    <t>I</t>
  </si>
  <si>
    <t>A</t>
  </si>
  <si>
    <t>S</t>
  </si>
  <si>
    <t>J</t>
  </si>
  <si>
    <t>H</t>
  </si>
  <si>
    <t>M</t>
  </si>
  <si>
    <t>DMITROCHENKOKIRILLDENISOVICH</t>
  </si>
  <si>
    <t>D</t>
  </si>
  <si>
    <t>P</t>
  </si>
  <si>
    <t>O</t>
  </si>
  <si>
    <t>K</t>
  </si>
  <si>
    <t>U</t>
  </si>
  <si>
    <t>L</t>
  </si>
  <si>
    <t>G</t>
  </si>
  <si>
    <t>V</t>
  </si>
  <si>
    <t>F</t>
  </si>
  <si>
    <t>Q</t>
  </si>
  <si>
    <t>B</t>
  </si>
  <si>
    <t>Y</t>
  </si>
  <si>
    <t>C</t>
  </si>
  <si>
    <t>Z</t>
  </si>
  <si>
    <t>X</t>
  </si>
  <si>
    <t>W</t>
  </si>
  <si>
    <t>Чувашский</t>
  </si>
  <si>
    <t>Албанский</t>
  </si>
  <si>
    <t>1:</t>
  </si>
  <si>
    <t>1</t>
  </si>
  <si>
    <t>0:</t>
  </si>
  <si>
    <t>0</t>
  </si>
  <si>
    <t>H:</t>
  </si>
  <si>
    <t>ДмитроченкоКириллДенисович</t>
  </si>
  <si>
    <t>DmitrochenkoKirillDenisovich</t>
  </si>
  <si>
    <t>Двоичное:</t>
  </si>
  <si>
    <t>11010000 10010100 11010000 10111100 11010000 10111000 11010001 10000010 11010001 10000000 11010000 10111110 11010001 10000111 11010000 10110101 11010000 10111101 11010000 10111010 11010000 10111110 11010000 10011010 11010000 10111000 11010001 10000000 11010000 10111000 11010000 10111011 11010000 10111011 11010000 10010100 11010000 10110101 11010000 10111101 11010000 10111000 11010001 10000001 11010000 10111110 11010000 10110010 11010000 10111000 11010001 10000111</t>
  </si>
  <si>
    <t>01000100 01101101 01101001 01110100 01110010 01101111 01100011 01101000 01100101 01101110 01101011 01101111 01001011 01101001 01110010 01101001 01101100 01101100 01000100 01100101 01101110 01101001 01110011 01101111 01110110 01101001 01100011 01101000</t>
  </si>
  <si>
    <t>Битов:</t>
  </si>
  <si>
    <t>Вероятность ошибки</t>
  </si>
  <si>
    <t>H канала</t>
  </si>
  <si>
    <t>Информация (Чувашский)</t>
  </si>
  <si>
    <t>Информация (Албанский)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</si>
</sst>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Кек)</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7.5754221198540653E-2"/>
          <c:y val="0.1481520591341077"/>
          <c:w val="0.91668719981430891"/>
          <c:h val="0.78779208829096992"/>
        </c:manualLayout>
      </c:layout>
      <c:barChart>
        <c:barDir val="col"/>
        <c:grouping val="clustered"/>
        <c:varyColors val="0"/>
        <c:ser>
          <c:idx val="0"/>
          <c:order val="0"/>
          <c:spPr>
            <a:solidFill>
              <a:schemeClr val="accent1"/>
            </a:solidFill>
            <a:ln>
              <a:noFill/>
            </a:ln>
            <a:effectLst/>
          </c:spPr>
          <c:invertIfNegative val="0"/>
          <c:cat>
            <c:strRef>
              <c:f>Чувашский!$A$2:$A$36</c:f>
              <c:strCache>
                <c:ptCount val="35"/>
                <c:pt idx="0">
                  <c:v>А</c:v>
                </c:pt>
                <c:pt idx="1">
                  <c:v>Е</c:v>
                </c:pt>
                <c:pt idx="2">
                  <c:v>Н</c:v>
                </c:pt>
                <c:pt idx="3">
                  <c:v>Р</c:v>
                </c:pt>
                <c:pt idx="4">
                  <c:v>Т</c:v>
                </c:pt>
                <c:pt idx="5">
                  <c:v>Л</c:v>
                </c:pt>
                <c:pt idx="6">
                  <c:v>Ă</c:v>
                </c:pt>
                <c:pt idx="7">
                  <c:v>С</c:v>
                </c:pt>
                <c:pt idx="8">
                  <c:v>Ĕ</c:v>
                </c:pt>
                <c:pt idx="9">
                  <c:v>И</c:v>
                </c:pt>
                <c:pt idx="10">
                  <c:v>М</c:v>
                </c:pt>
                <c:pt idx="11">
                  <c:v>П</c:v>
                </c:pt>
                <c:pt idx="12">
                  <c:v>К</c:v>
                </c:pt>
                <c:pt idx="13">
                  <c:v>У</c:v>
                </c:pt>
                <c:pt idx="14">
                  <c:v>Ç</c:v>
                </c:pt>
                <c:pt idx="15">
                  <c:v>Х</c:v>
                </c:pt>
                <c:pt idx="16">
                  <c:v>Ш</c:v>
                </c:pt>
                <c:pt idx="17">
                  <c:v>В</c:v>
                </c:pt>
                <c:pt idx="18">
                  <c:v>Ч</c:v>
                </c:pt>
                <c:pt idx="19">
                  <c:v>Ы</c:v>
                </c:pt>
                <c:pt idx="20">
                  <c:v>Й</c:v>
                </c:pt>
                <c:pt idx="21">
                  <c:v>О</c:v>
                </c:pt>
                <c:pt idx="22">
                  <c:v>Д</c:v>
                </c:pt>
                <c:pt idx="23">
                  <c:v>З</c:v>
                </c:pt>
                <c:pt idx="24">
                  <c:v>Я</c:v>
                </c:pt>
                <c:pt idx="25">
                  <c:v>Ь</c:v>
                </c:pt>
                <c:pt idx="26">
                  <c:v>Г</c:v>
                </c:pt>
                <c:pt idx="27">
                  <c:v>Ф</c:v>
                </c:pt>
                <c:pt idx="28">
                  <c:v>Ÿ</c:v>
                </c:pt>
                <c:pt idx="29">
                  <c:v>Ж</c:v>
                </c:pt>
                <c:pt idx="30">
                  <c:v>Ю</c:v>
                </c:pt>
                <c:pt idx="31">
                  <c:v>Э</c:v>
                </c:pt>
                <c:pt idx="32">
                  <c:v>Б</c:v>
                </c:pt>
                <c:pt idx="33">
                  <c:v>Ц</c:v>
                </c:pt>
                <c:pt idx="34">
                  <c:v>Щ</c:v>
                </c:pt>
              </c:strCache>
            </c:strRef>
          </c:cat>
          <c:val>
            <c:numRef>
              <c:f>Чувашский!$B$2:$B$36</c:f>
              <c:numCache>
                <c:formatCode>General</c:formatCode>
                <c:ptCount val="35"/>
                <c:pt idx="0">
                  <c:v>2256</c:v>
                </c:pt>
                <c:pt idx="1">
                  <c:v>1586</c:v>
                </c:pt>
                <c:pt idx="2">
                  <c:v>1483</c:v>
                </c:pt>
                <c:pt idx="3">
                  <c:v>1233</c:v>
                </c:pt>
                <c:pt idx="4">
                  <c:v>1126</c:v>
                </c:pt>
                <c:pt idx="5">
                  <c:v>1120</c:v>
                </c:pt>
                <c:pt idx="6">
                  <c:v>1110</c:v>
                </c:pt>
                <c:pt idx="7">
                  <c:v>1053</c:v>
                </c:pt>
                <c:pt idx="8">
                  <c:v>1008</c:v>
                </c:pt>
                <c:pt idx="9">
                  <c:v>849</c:v>
                </c:pt>
                <c:pt idx="10">
                  <c:v>815</c:v>
                </c:pt>
                <c:pt idx="11">
                  <c:v>794</c:v>
                </c:pt>
                <c:pt idx="12">
                  <c:v>729</c:v>
                </c:pt>
                <c:pt idx="13">
                  <c:v>673</c:v>
                </c:pt>
                <c:pt idx="14">
                  <c:v>557</c:v>
                </c:pt>
                <c:pt idx="15">
                  <c:v>523</c:v>
                </c:pt>
                <c:pt idx="16">
                  <c:v>482</c:v>
                </c:pt>
                <c:pt idx="17">
                  <c:v>481</c:v>
                </c:pt>
                <c:pt idx="18">
                  <c:v>312</c:v>
                </c:pt>
                <c:pt idx="19">
                  <c:v>257</c:v>
                </c:pt>
                <c:pt idx="20">
                  <c:v>223</c:v>
                </c:pt>
                <c:pt idx="21">
                  <c:v>210</c:v>
                </c:pt>
                <c:pt idx="22">
                  <c:v>124</c:v>
                </c:pt>
                <c:pt idx="23">
                  <c:v>83</c:v>
                </c:pt>
                <c:pt idx="24">
                  <c:v>83</c:v>
                </c:pt>
                <c:pt idx="25">
                  <c:v>80</c:v>
                </c:pt>
                <c:pt idx="26">
                  <c:v>67</c:v>
                </c:pt>
                <c:pt idx="27">
                  <c:v>55</c:v>
                </c:pt>
                <c:pt idx="28">
                  <c:v>50</c:v>
                </c:pt>
                <c:pt idx="29">
                  <c:v>48</c:v>
                </c:pt>
                <c:pt idx="30">
                  <c:v>37</c:v>
                </c:pt>
                <c:pt idx="31">
                  <c:v>22</c:v>
                </c:pt>
                <c:pt idx="32">
                  <c:v>18</c:v>
                </c:pt>
                <c:pt idx="33">
                  <c:v>14</c:v>
                </c:pt>
                <c:pt idx="34">
                  <c:v>2</c:v>
                </c:pt>
              </c:numCache>
            </c:numRef>
          </c:val>
          <c:extLst>
            <c:ext xmlns:c16="http://schemas.microsoft.com/office/drawing/2014/chart" uri="{C3380CC4-5D6E-409C-BE32-E72D297353CC}">
              <c16:uniqueId val="{00000000-ED67-4024-82C4-08676F45AAB3}"/>
            </c:ext>
          </c:extLst>
        </c:ser>
        <c:dLbls>
          <c:showLegendKey val="0"/>
          <c:showVal val="0"/>
          <c:showCatName val="0"/>
          <c:showSerName val="0"/>
          <c:showPercent val="0"/>
          <c:showBubbleSize val="0"/>
        </c:dLbls>
        <c:gapWidth val="219"/>
        <c:overlap val="-27"/>
        <c:axId val="2106521583"/>
        <c:axId val="2106526863"/>
      </c:barChart>
      <c:catAx>
        <c:axId val="210652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06526863"/>
        <c:crosses val="autoZero"/>
        <c:auto val="1"/>
        <c:lblAlgn val="ctr"/>
        <c:lblOffset val="100"/>
        <c:noMultiLvlLbl val="0"/>
      </c:catAx>
      <c:valAx>
        <c:axId val="210652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0652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Кек)</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4.279270849827501E-2"/>
          <c:y val="0.12883379247015611"/>
          <c:w val="0.93283191063639892"/>
          <c:h val="0.81546290873420435"/>
        </c:manualLayout>
      </c:layout>
      <c:barChart>
        <c:barDir val="col"/>
        <c:grouping val="clustered"/>
        <c:varyColors val="0"/>
        <c:ser>
          <c:idx val="0"/>
          <c:order val="0"/>
          <c:spPr>
            <a:solidFill>
              <a:schemeClr val="accent1"/>
            </a:solidFill>
            <a:ln>
              <a:noFill/>
            </a:ln>
            <a:effectLst/>
          </c:spPr>
          <c:invertIfNegative val="0"/>
          <c:cat>
            <c:strRef>
              <c:f>Албанский!$A$2:$A$29</c:f>
              <c:strCache>
                <c:ptCount val="28"/>
                <c:pt idx="0">
                  <c:v>Ë</c:v>
                </c:pt>
                <c:pt idx="1">
                  <c:v>E</c:v>
                </c:pt>
                <c:pt idx="2">
                  <c:v>R</c:v>
                </c:pt>
                <c:pt idx="3">
                  <c:v>T</c:v>
                </c:pt>
                <c:pt idx="4">
                  <c:v>N</c:v>
                </c:pt>
                <c:pt idx="5">
                  <c:v>I</c:v>
                </c:pt>
                <c:pt idx="6">
                  <c:v>A</c:v>
                </c:pt>
                <c:pt idx="7">
                  <c:v>S</c:v>
                </c:pt>
                <c:pt idx="8">
                  <c:v>J</c:v>
                </c:pt>
                <c:pt idx="9">
                  <c:v>H</c:v>
                </c:pt>
                <c:pt idx="10">
                  <c:v>M</c:v>
                </c:pt>
                <c:pt idx="11">
                  <c:v>D</c:v>
                </c:pt>
                <c:pt idx="12">
                  <c:v>P</c:v>
                </c:pt>
                <c:pt idx="13">
                  <c:v>O</c:v>
                </c:pt>
                <c:pt idx="14">
                  <c:v>K</c:v>
                </c:pt>
                <c:pt idx="15">
                  <c:v>U</c:v>
                </c:pt>
                <c:pt idx="16">
                  <c:v>L</c:v>
                </c:pt>
                <c:pt idx="17">
                  <c:v>G</c:v>
                </c:pt>
                <c:pt idx="18">
                  <c:v>V</c:v>
                </c:pt>
                <c:pt idx="19">
                  <c:v>F</c:v>
                </c:pt>
                <c:pt idx="20">
                  <c:v>Q</c:v>
                </c:pt>
                <c:pt idx="21">
                  <c:v>B</c:v>
                </c:pt>
                <c:pt idx="22">
                  <c:v>Y</c:v>
                </c:pt>
                <c:pt idx="23">
                  <c:v>C</c:v>
                </c:pt>
                <c:pt idx="24">
                  <c:v>Z</c:v>
                </c:pt>
                <c:pt idx="25">
                  <c:v>Ç</c:v>
                </c:pt>
                <c:pt idx="26">
                  <c:v>X</c:v>
                </c:pt>
                <c:pt idx="27">
                  <c:v>W</c:v>
                </c:pt>
              </c:strCache>
            </c:strRef>
          </c:cat>
          <c:val>
            <c:numRef>
              <c:f>Албанский!$B$2:$B$29</c:f>
              <c:numCache>
                <c:formatCode>General</c:formatCode>
                <c:ptCount val="28"/>
                <c:pt idx="0">
                  <c:v>1805</c:v>
                </c:pt>
                <c:pt idx="1">
                  <c:v>1504</c:v>
                </c:pt>
                <c:pt idx="2">
                  <c:v>1248</c:v>
                </c:pt>
                <c:pt idx="3">
                  <c:v>1161</c:v>
                </c:pt>
                <c:pt idx="4">
                  <c:v>1022</c:v>
                </c:pt>
                <c:pt idx="5">
                  <c:v>1020</c:v>
                </c:pt>
                <c:pt idx="6">
                  <c:v>980</c:v>
                </c:pt>
                <c:pt idx="7">
                  <c:v>773</c:v>
                </c:pt>
                <c:pt idx="8">
                  <c:v>721</c:v>
                </c:pt>
                <c:pt idx="9">
                  <c:v>633</c:v>
                </c:pt>
                <c:pt idx="10">
                  <c:v>589</c:v>
                </c:pt>
                <c:pt idx="11">
                  <c:v>535</c:v>
                </c:pt>
                <c:pt idx="12">
                  <c:v>514</c:v>
                </c:pt>
                <c:pt idx="13">
                  <c:v>477</c:v>
                </c:pt>
                <c:pt idx="14">
                  <c:v>446</c:v>
                </c:pt>
                <c:pt idx="15">
                  <c:v>429</c:v>
                </c:pt>
                <c:pt idx="16">
                  <c:v>397</c:v>
                </c:pt>
                <c:pt idx="17">
                  <c:v>195</c:v>
                </c:pt>
                <c:pt idx="18">
                  <c:v>173</c:v>
                </c:pt>
                <c:pt idx="19">
                  <c:v>164</c:v>
                </c:pt>
                <c:pt idx="20">
                  <c:v>119</c:v>
                </c:pt>
                <c:pt idx="21">
                  <c:v>113</c:v>
                </c:pt>
                <c:pt idx="22">
                  <c:v>113</c:v>
                </c:pt>
                <c:pt idx="23">
                  <c:v>89</c:v>
                </c:pt>
                <c:pt idx="24">
                  <c:v>70</c:v>
                </c:pt>
                <c:pt idx="25">
                  <c:v>66</c:v>
                </c:pt>
                <c:pt idx="26">
                  <c:v>5</c:v>
                </c:pt>
                <c:pt idx="27">
                  <c:v>3</c:v>
                </c:pt>
              </c:numCache>
            </c:numRef>
          </c:val>
          <c:extLst>
            <c:ext xmlns:c16="http://schemas.microsoft.com/office/drawing/2014/chart" uri="{C3380CC4-5D6E-409C-BE32-E72D297353CC}">
              <c16:uniqueId val="{00000000-27DF-47C8-B5B2-6560ADDB601B}"/>
            </c:ext>
          </c:extLst>
        </c:ser>
        <c:dLbls>
          <c:showLegendKey val="0"/>
          <c:showVal val="0"/>
          <c:showCatName val="0"/>
          <c:showSerName val="0"/>
          <c:showPercent val="0"/>
          <c:showBubbleSize val="0"/>
        </c:dLbls>
        <c:gapWidth val="219"/>
        <c:overlap val="-27"/>
        <c:axId val="1960548751"/>
        <c:axId val="1755502191"/>
      </c:barChart>
      <c:catAx>
        <c:axId val="19605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55502191"/>
        <c:crosses val="autoZero"/>
        <c:auto val="1"/>
        <c:lblAlgn val="ctr"/>
        <c:lblOffset val="100"/>
        <c:noMultiLvlLbl val="0"/>
      </c:catAx>
      <c:valAx>
        <c:axId val="175550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96054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327660</xdr:colOff>
      <xdr:row>27</xdr:row>
      <xdr:rowOff>22860</xdr:rowOff>
    </xdr:from>
    <xdr:to>
      <xdr:col>19</xdr:col>
      <xdr:colOff>342900</xdr:colOff>
      <xdr:row>46</xdr:row>
      <xdr:rowOff>156210</xdr:rowOff>
    </xdr:to>
    <xdr:graphicFrame macro="">
      <xdr:nvGraphicFramePr>
        <xdr:cNvPr id="2" name="Диаграмма 1">
          <a:extLst>
            <a:ext uri="{FF2B5EF4-FFF2-40B4-BE49-F238E27FC236}">
              <a16:creationId xmlns:a16="http://schemas.microsoft.com/office/drawing/2014/main" id="{C7537F7A-76F0-7662-7876-630B02CE2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472440</xdr:colOff>
      <xdr:row>22</xdr:row>
      <xdr:rowOff>167640</xdr:rowOff>
    </xdr:from>
    <xdr:to>
      <xdr:col>20</xdr:col>
      <xdr:colOff>274320</xdr:colOff>
      <xdr:row>45</xdr:row>
      <xdr:rowOff>110490</xdr:rowOff>
    </xdr:to>
    <xdr:graphicFrame macro="">
      <xdr:nvGraphicFramePr>
        <xdr:cNvPr id="5" name="Диаграмма 4">
          <a:extLst>
            <a:ext uri="{FF2B5EF4-FFF2-40B4-BE49-F238E27FC236}">
              <a16:creationId xmlns:a16="http://schemas.microsoft.com/office/drawing/2014/main" id="{1AFF0CE6-4C86-67E8-D9D3-7A00602CC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topLeftCell="B1" zoomScale="126" workbookViewId="0">
      <selection activeCell="K18" sqref="K18"/>
    </sheetView>
  </sheetViews>
  <sheetFormatPr defaultRowHeight="14.4" x14ac:dyDescent="0.3"/>
  <cols>
    <col min="8" max="8" width="19.5546875" customWidth="1"/>
  </cols>
  <sheetData>
    <row r="1" spans="1:9" x14ac:dyDescent="0.3">
      <c r="A1" t="s">
        <v>0</v>
      </c>
      <c r="B1" t="s">
        <v>1</v>
      </c>
      <c r="C1" t="s">
        <v>2</v>
      </c>
      <c r="D1" t="s">
        <v>3</v>
      </c>
      <c r="E1" t="s">
        <v>4</v>
      </c>
    </row>
    <row r="2" spans="1:9" x14ac:dyDescent="0.3">
      <c r="A2" t="s">
        <v>5</v>
      </c>
      <c r="B2">
        <v>2256</v>
      </c>
      <c r="C2">
        <v>11.531973623677349</v>
      </c>
      <c r="D2" t="s">
        <v>3</v>
      </c>
      <c r="E2">
        <v>0.35936958546924475</v>
      </c>
    </row>
    <row r="3" spans="1:9" x14ac:dyDescent="0.3">
      <c r="A3" t="s">
        <v>6</v>
      </c>
      <c r="B3">
        <v>1586</v>
      </c>
      <c r="C3">
        <v>8.1071410315391308</v>
      </c>
      <c r="D3" t="s">
        <v>3</v>
      </c>
      <c r="E3">
        <v>0.29385653722695154</v>
      </c>
    </row>
    <row r="4" spans="1:9" x14ac:dyDescent="0.3">
      <c r="A4" t="s">
        <v>7</v>
      </c>
      <c r="B4">
        <v>1483</v>
      </c>
      <c r="C4">
        <v>7.5806369166283289</v>
      </c>
      <c r="D4" t="s">
        <v>3</v>
      </c>
      <c r="E4">
        <v>0.2821162169866574</v>
      </c>
    </row>
    <row r="5" spans="1:9" x14ac:dyDescent="0.3">
      <c r="A5" t="s">
        <v>8</v>
      </c>
      <c r="B5">
        <v>1233</v>
      </c>
      <c r="C5">
        <v>6.3027143076215308</v>
      </c>
      <c r="D5" t="s">
        <v>3</v>
      </c>
      <c r="E5">
        <v>0.25134486741511836</v>
      </c>
    </row>
    <row r="6" spans="1:9" x14ac:dyDescent="0.3">
      <c r="A6" t="s">
        <v>9</v>
      </c>
      <c r="B6">
        <v>1126</v>
      </c>
      <c r="C6">
        <v>5.7557634309666206</v>
      </c>
      <c r="D6" t="s">
        <v>3</v>
      </c>
      <c r="E6">
        <v>0.23707119836224924</v>
      </c>
    </row>
    <row r="7" spans="1:9" x14ac:dyDescent="0.3">
      <c r="A7" t="s">
        <v>10</v>
      </c>
      <c r="B7">
        <v>1120</v>
      </c>
      <c r="C7">
        <v>5.7250932883504575</v>
      </c>
      <c r="D7" t="s">
        <v>3</v>
      </c>
      <c r="E7">
        <v>0.23624923716985888</v>
      </c>
    </row>
    <row r="8" spans="1:9" x14ac:dyDescent="0.3">
      <c r="A8" t="s">
        <v>11</v>
      </c>
      <c r="B8">
        <v>1110</v>
      </c>
      <c r="C8">
        <v>5.6739763839901851</v>
      </c>
      <c r="D8" t="s">
        <v>3</v>
      </c>
      <c r="E8">
        <v>0.23487402794599707</v>
      </c>
    </row>
    <row r="9" spans="1:9" x14ac:dyDescent="0.3">
      <c r="A9" t="s">
        <v>12</v>
      </c>
      <c r="B9">
        <v>1053</v>
      </c>
      <c r="C9">
        <v>5.3826100291366359</v>
      </c>
      <c r="D9" t="s">
        <v>3</v>
      </c>
      <c r="E9">
        <v>0.22690663237485645</v>
      </c>
    </row>
    <row r="10" spans="1:9" x14ac:dyDescent="0.3">
      <c r="A10" t="s">
        <v>13</v>
      </c>
      <c r="B10">
        <v>1008</v>
      </c>
      <c r="C10">
        <v>5.1525839595154119</v>
      </c>
      <c r="D10" t="s">
        <v>3</v>
      </c>
      <c r="E10">
        <v>0.22045640046368989</v>
      </c>
      <c r="H10" t="s">
        <v>14</v>
      </c>
      <c r="I10">
        <f>SUM(E2:E36)</f>
        <v>4.4185045919539325</v>
      </c>
    </row>
    <row r="11" spans="1:9" x14ac:dyDescent="0.3">
      <c r="A11" t="s">
        <v>15</v>
      </c>
      <c r="B11">
        <v>849</v>
      </c>
      <c r="C11">
        <v>4.3398251801870877</v>
      </c>
      <c r="D11" t="s">
        <v>3</v>
      </c>
      <c r="E11">
        <v>0.19643000322388016</v>
      </c>
    </row>
    <row r="12" spans="1:9" x14ac:dyDescent="0.3">
      <c r="A12" t="s">
        <v>16</v>
      </c>
      <c r="B12">
        <v>815</v>
      </c>
      <c r="C12">
        <v>4.166027705362163</v>
      </c>
      <c r="D12" t="s">
        <v>3</v>
      </c>
      <c r="E12">
        <v>0.19102002561671275</v>
      </c>
      <c r="H12" t="s">
        <v>17</v>
      </c>
      <c r="I12" t="s">
        <v>18</v>
      </c>
    </row>
    <row r="13" spans="1:9" x14ac:dyDescent="0.3">
      <c r="A13" t="s">
        <v>19</v>
      </c>
      <c r="B13">
        <v>794</v>
      </c>
      <c r="C13">
        <v>4.0586822062055923</v>
      </c>
      <c r="D13" t="s">
        <v>3</v>
      </c>
      <c r="E13">
        <v>0.18762657964178764</v>
      </c>
      <c r="H13" t="s">
        <v>20</v>
      </c>
      <c r="I13">
        <v>26</v>
      </c>
    </row>
    <row r="14" spans="1:9" x14ac:dyDescent="0.3">
      <c r="A14" t="s">
        <v>21</v>
      </c>
      <c r="B14">
        <v>729</v>
      </c>
      <c r="C14">
        <v>3.7264223278638244</v>
      </c>
      <c r="D14" t="s">
        <v>3</v>
      </c>
      <c r="E14">
        <v>0.17685842588441364</v>
      </c>
      <c r="H14" t="s">
        <v>22</v>
      </c>
      <c r="I14">
        <v>114.88111939080224</v>
      </c>
    </row>
    <row r="15" spans="1:9" x14ac:dyDescent="0.3">
      <c r="A15" t="s">
        <v>23</v>
      </c>
      <c r="B15">
        <v>673</v>
      </c>
      <c r="C15">
        <v>3.4401676634463016</v>
      </c>
      <c r="D15" t="s">
        <v>3</v>
      </c>
      <c r="E15">
        <v>0.16723953023420549</v>
      </c>
    </row>
    <row r="16" spans="1:9" x14ac:dyDescent="0.3">
      <c r="A16" t="s">
        <v>24</v>
      </c>
      <c r="B16">
        <v>557</v>
      </c>
      <c r="C16">
        <v>2.8472115728671472</v>
      </c>
      <c r="D16" t="s">
        <v>3</v>
      </c>
      <c r="E16">
        <v>0.14618456850648692</v>
      </c>
      <c r="H16" t="s">
        <v>86</v>
      </c>
      <c r="I16" t="s">
        <v>87</v>
      </c>
    </row>
    <row r="17" spans="1:10" x14ac:dyDescent="0.3">
      <c r="A17" t="s">
        <v>25</v>
      </c>
      <c r="B17">
        <v>523</v>
      </c>
      <c r="C17">
        <v>2.6734140980422225</v>
      </c>
      <c r="D17" t="s">
        <v>3</v>
      </c>
      <c r="E17">
        <v>0.13969050812347977</v>
      </c>
      <c r="H17">
        <v>0.1</v>
      </c>
      <c r="I17">
        <v>0.468995593589281</v>
      </c>
      <c r="J17">
        <f>(I10-I17)*I13</f>
        <v>102.68723395748094</v>
      </c>
    </row>
    <row r="18" spans="1:10" x14ac:dyDescent="0.3">
      <c r="A18" t="s">
        <v>26</v>
      </c>
      <c r="B18">
        <v>482</v>
      </c>
      <c r="C18">
        <v>2.4638347901651074</v>
      </c>
      <c r="D18" t="s">
        <v>3</v>
      </c>
      <c r="E18">
        <v>0.13164147740142615</v>
      </c>
      <c r="H18">
        <v>0.5</v>
      </c>
      <c r="I18">
        <v>1</v>
      </c>
    </row>
    <row r="19" spans="1:10" x14ac:dyDescent="0.3">
      <c r="A19" t="s">
        <v>27</v>
      </c>
      <c r="B19">
        <v>481</v>
      </c>
      <c r="C19">
        <v>2.4587230997290805</v>
      </c>
      <c r="D19" t="s">
        <v>3</v>
      </c>
      <c r="E19">
        <v>0.13144203185444117</v>
      </c>
      <c r="H19">
        <v>1</v>
      </c>
      <c r="I19">
        <v>0</v>
      </c>
    </row>
    <row r="20" spans="1:10" x14ac:dyDescent="0.3">
      <c r="A20" t="s">
        <v>28</v>
      </c>
      <c r="B20">
        <v>312</v>
      </c>
      <c r="C20">
        <v>1.5948474160404846</v>
      </c>
      <c r="D20" t="s">
        <v>3</v>
      </c>
      <c r="E20">
        <v>9.5219372760406734E-2</v>
      </c>
    </row>
    <row r="21" spans="1:10" x14ac:dyDescent="0.3">
      <c r="A21" t="s">
        <v>29</v>
      </c>
      <c r="B21">
        <v>257</v>
      </c>
      <c r="C21">
        <v>1.313704442058989</v>
      </c>
      <c r="D21" t="s">
        <v>3</v>
      </c>
      <c r="E21">
        <v>8.2109358082734465E-2</v>
      </c>
    </row>
    <row r="22" spans="1:10" x14ac:dyDescent="0.3">
      <c r="A22" t="s">
        <v>30</v>
      </c>
      <c r="B22">
        <v>223</v>
      </c>
      <c r="C22">
        <v>1.1399069672340643</v>
      </c>
      <c r="D22" t="s">
        <v>3</v>
      </c>
      <c r="E22">
        <v>7.3580311989935906E-2</v>
      </c>
    </row>
    <row r="23" spans="1:10" x14ac:dyDescent="0.3">
      <c r="A23" t="s">
        <v>31</v>
      </c>
      <c r="B23">
        <v>210</v>
      </c>
      <c r="C23">
        <v>1.0734549915657108</v>
      </c>
      <c r="D23" t="s">
        <v>3</v>
      </c>
      <c r="E23">
        <v>7.0221072553541014E-2</v>
      </c>
    </row>
    <row r="24" spans="1:10" x14ac:dyDescent="0.3">
      <c r="A24" t="s">
        <v>32</v>
      </c>
      <c r="B24">
        <v>124</v>
      </c>
      <c r="C24">
        <v>0.63384961406737206</v>
      </c>
      <c r="D24" t="s">
        <v>3</v>
      </c>
      <c r="E24">
        <v>4.6281440379628704E-2</v>
      </c>
    </row>
    <row r="25" spans="1:10" x14ac:dyDescent="0.3">
      <c r="A25" t="s">
        <v>33</v>
      </c>
      <c r="B25">
        <v>83</v>
      </c>
      <c r="C25">
        <v>0.42427030619025713</v>
      </c>
      <c r="D25" t="s">
        <v>3</v>
      </c>
      <c r="E25">
        <v>3.3435896724582657E-2</v>
      </c>
    </row>
    <row r="26" spans="1:10" x14ac:dyDescent="0.3">
      <c r="A26" t="s">
        <v>34</v>
      </c>
      <c r="B26">
        <v>83</v>
      </c>
      <c r="C26">
        <v>0.42427030619025713</v>
      </c>
      <c r="D26" t="s">
        <v>3</v>
      </c>
      <c r="E26">
        <v>3.3435896724582657E-2</v>
      </c>
    </row>
    <row r="27" spans="1:10" x14ac:dyDescent="0.3">
      <c r="A27" t="s">
        <v>35</v>
      </c>
      <c r="B27">
        <v>80</v>
      </c>
      <c r="C27">
        <v>0.40893523488217554</v>
      </c>
      <c r="D27" t="s">
        <v>3</v>
      </c>
      <c r="E27">
        <v>3.2444561305447116E-2</v>
      </c>
    </row>
    <row r="28" spans="1:10" x14ac:dyDescent="0.3">
      <c r="A28" t="s">
        <v>36</v>
      </c>
      <c r="B28">
        <v>67</v>
      </c>
      <c r="C28">
        <v>0.342483259213822</v>
      </c>
      <c r="D28" t="s">
        <v>3</v>
      </c>
      <c r="E28">
        <v>2.8048525511539347E-2</v>
      </c>
    </row>
    <row r="29" spans="1:10" x14ac:dyDescent="0.3">
      <c r="A29" t="s">
        <v>37</v>
      </c>
      <c r="B29">
        <v>55</v>
      </c>
      <c r="C29">
        <v>0.28114297398149568</v>
      </c>
      <c r="D29" t="s">
        <v>3</v>
      </c>
      <c r="E29">
        <v>2.3825405921261627E-2</v>
      </c>
    </row>
    <row r="30" spans="1:10" x14ac:dyDescent="0.3">
      <c r="A30" t="s">
        <v>38</v>
      </c>
      <c r="B30">
        <v>50</v>
      </c>
      <c r="C30">
        <v>0.25558452180135971</v>
      </c>
      <c r="D30" t="s">
        <v>3</v>
      </c>
      <c r="E30">
        <v>2.2010897652055949E-2</v>
      </c>
    </row>
    <row r="31" spans="1:10" x14ac:dyDescent="0.3">
      <c r="A31" t="s">
        <v>39</v>
      </c>
      <c r="B31">
        <v>48</v>
      </c>
      <c r="C31">
        <v>0.2453611409293053</v>
      </c>
      <c r="D31" t="s">
        <v>3</v>
      </c>
      <c r="E31">
        <v>2.1274963973370906E-2</v>
      </c>
    </row>
    <row r="32" spans="1:10" x14ac:dyDescent="0.3">
      <c r="A32" t="s">
        <v>40</v>
      </c>
      <c r="B32">
        <v>37</v>
      </c>
      <c r="C32">
        <v>0.1891325461330062</v>
      </c>
      <c r="D32" t="s">
        <v>3</v>
      </c>
      <c r="E32">
        <v>1.7109661384301991E-2</v>
      </c>
    </row>
    <row r="33" spans="1:5" x14ac:dyDescent="0.3">
      <c r="A33" t="s">
        <v>41</v>
      </c>
      <c r="B33">
        <v>22</v>
      </c>
      <c r="C33">
        <v>0.11245718959259828</v>
      </c>
      <c r="D33" t="s">
        <v>3</v>
      </c>
      <c r="E33">
        <v>1.1016765552449953E-2</v>
      </c>
    </row>
    <row r="34" spans="1:5" x14ac:dyDescent="0.3">
      <c r="A34" t="s">
        <v>42</v>
      </c>
      <c r="B34">
        <v>18</v>
      </c>
      <c r="C34">
        <v>9.2010427848489493E-2</v>
      </c>
      <c r="D34" t="s">
        <v>3</v>
      </c>
      <c r="E34">
        <v>9.2800935473171201E-3</v>
      </c>
    </row>
    <row r="35" spans="1:5" x14ac:dyDescent="0.3">
      <c r="A35" t="s">
        <v>43</v>
      </c>
      <c r="B35">
        <v>14</v>
      </c>
      <c r="C35">
        <v>7.1563666104380724E-2</v>
      </c>
      <c r="D35" t="s">
        <v>3</v>
      </c>
      <c r="E35">
        <v>7.4773189778074654E-3</v>
      </c>
    </row>
    <row r="36" spans="1:5" x14ac:dyDescent="0.3">
      <c r="A36" t="s">
        <v>44</v>
      </c>
      <c r="B36">
        <v>2</v>
      </c>
      <c r="C36">
        <v>1.0223380872054388E-2</v>
      </c>
      <c r="D36" t="s">
        <v>3</v>
      </c>
      <c r="E36">
        <v>1.355195011513381E-3</v>
      </c>
    </row>
  </sheetData>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topLeftCell="D7" zoomScale="169" workbookViewId="0">
      <selection activeCell="I15" sqref="I15"/>
    </sheetView>
  </sheetViews>
  <sheetFormatPr defaultRowHeight="14.4" x14ac:dyDescent="0.3"/>
  <cols>
    <col min="8" max="8" width="18.5546875" customWidth="1"/>
  </cols>
  <sheetData>
    <row r="1" spans="1:9" x14ac:dyDescent="0.3">
      <c r="A1" t="s">
        <v>0</v>
      </c>
      <c r="B1" t="s">
        <v>1</v>
      </c>
      <c r="C1" t="s">
        <v>2</v>
      </c>
      <c r="D1" t="s">
        <v>3</v>
      </c>
      <c r="E1" t="s">
        <v>4</v>
      </c>
    </row>
    <row r="2" spans="1:9" x14ac:dyDescent="0.3">
      <c r="A2" t="s">
        <v>45</v>
      </c>
      <c r="B2">
        <v>1805</v>
      </c>
      <c r="C2">
        <v>11.748242645144494</v>
      </c>
      <c r="D2" t="s">
        <v>3</v>
      </c>
      <c r="E2">
        <v>0.36295997421215442</v>
      </c>
    </row>
    <row r="3" spans="1:9" x14ac:dyDescent="0.3">
      <c r="A3" t="s">
        <v>46</v>
      </c>
      <c r="B3">
        <v>1504</v>
      </c>
      <c r="C3">
        <v>9.7891174173392344</v>
      </c>
      <c r="D3" t="s">
        <v>3</v>
      </c>
      <c r="E3">
        <v>0.32819752700257454</v>
      </c>
    </row>
    <row r="4" spans="1:9" x14ac:dyDescent="0.3">
      <c r="A4" t="s">
        <v>47</v>
      </c>
      <c r="B4">
        <v>1248</v>
      </c>
      <c r="C4">
        <v>8.1228846654517053</v>
      </c>
      <c r="D4" t="s">
        <v>3</v>
      </c>
      <c r="E4">
        <v>0.29419983786947956</v>
      </c>
    </row>
    <row r="5" spans="1:9" x14ac:dyDescent="0.3">
      <c r="A5" t="s">
        <v>48</v>
      </c>
      <c r="B5">
        <v>1161</v>
      </c>
      <c r="C5">
        <v>7.5566258786774281</v>
      </c>
      <c r="D5" t="s">
        <v>3</v>
      </c>
      <c r="E5">
        <v>0.28156849416321555</v>
      </c>
    </row>
    <row r="6" spans="1:9" x14ac:dyDescent="0.3">
      <c r="A6" t="s">
        <v>49</v>
      </c>
      <c r="B6">
        <v>1022</v>
      </c>
      <c r="C6">
        <v>6.6519135641759961</v>
      </c>
      <c r="D6" t="s">
        <v>3</v>
      </c>
      <c r="E6">
        <v>0.26009559206459903</v>
      </c>
    </row>
    <row r="7" spans="1:9" x14ac:dyDescent="0.3">
      <c r="A7" t="s">
        <v>50</v>
      </c>
      <c r="B7">
        <v>1020</v>
      </c>
      <c r="C7">
        <v>6.6388961208018751</v>
      </c>
      <c r="D7" t="s">
        <v>3</v>
      </c>
      <c r="E7">
        <v>0.25977421686446572</v>
      </c>
    </row>
    <row r="8" spans="1:9" x14ac:dyDescent="0.3">
      <c r="A8" t="s">
        <v>51</v>
      </c>
      <c r="B8">
        <v>980</v>
      </c>
      <c r="C8">
        <v>6.3785472533194483</v>
      </c>
      <c r="D8" t="s">
        <v>3</v>
      </c>
      <c r="E8">
        <v>0.25326840297695424</v>
      </c>
    </row>
    <row r="9" spans="1:9" x14ac:dyDescent="0.3">
      <c r="A9" t="s">
        <v>52</v>
      </c>
      <c r="B9">
        <v>773</v>
      </c>
      <c r="C9">
        <v>5.0312418640978915</v>
      </c>
      <c r="D9" t="s">
        <v>3</v>
      </c>
      <c r="E9">
        <v>0.21699452559754012</v>
      </c>
    </row>
    <row r="10" spans="1:9" x14ac:dyDescent="0.3">
      <c r="A10" t="s">
        <v>53</v>
      </c>
      <c r="B10">
        <v>721</v>
      </c>
      <c r="C10">
        <v>4.6927883363707368</v>
      </c>
      <c r="D10" t="s">
        <v>3</v>
      </c>
      <c r="E10">
        <v>0.20711202722521901</v>
      </c>
      <c r="H10" t="s">
        <v>14</v>
      </c>
      <c r="I10">
        <f>SUM(E2:E29)</f>
        <v>4.250722734793265</v>
      </c>
    </row>
    <row r="11" spans="1:9" x14ac:dyDescent="0.3">
      <c r="A11" t="s">
        <v>54</v>
      </c>
      <c r="B11">
        <v>633</v>
      </c>
      <c r="C11">
        <v>4.1200208279093982</v>
      </c>
      <c r="D11" t="s">
        <v>3</v>
      </c>
      <c r="E11">
        <v>0.18957058616974906</v>
      </c>
    </row>
    <row r="12" spans="1:9" x14ac:dyDescent="0.3">
      <c r="A12" t="s">
        <v>55</v>
      </c>
      <c r="B12">
        <v>589</v>
      </c>
      <c r="C12">
        <v>3.8336370736787293</v>
      </c>
      <c r="D12" t="s">
        <v>3</v>
      </c>
      <c r="E12">
        <v>0.18037808436270866</v>
      </c>
      <c r="H12" t="s">
        <v>17</v>
      </c>
      <c r="I12" t="s">
        <v>56</v>
      </c>
    </row>
    <row r="13" spans="1:9" x14ac:dyDescent="0.3">
      <c r="A13" t="s">
        <v>57</v>
      </c>
      <c r="B13">
        <v>535</v>
      </c>
      <c r="C13">
        <v>3.482166102577454</v>
      </c>
      <c r="D13" t="s">
        <v>3</v>
      </c>
      <c r="E13">
        <v>0.16867163983824313</v>
      </c>
      <c r="H13" t="s">
        <v>20</v>
      </c>
      <c r="I13">
        <v>28</v>
      </c>
    </row>
    <row r="14" spans="1:9" x14ac:dyDescent="0.3">
      <c r="A14" t="s">
        <v>58</v>
      </c>
      <c r="B14">
        <v>514</v>
      </c>
      <c r="C14">
        <v>3.34548294714918</v>
      </c>
      <c r="D14" t="s">
        <v>3</v>
      </c>
      <c r="E14">
        <v>0.16398358718167888</v>
      </c>
      <c r="H14" t="s">
        <v>22</v>
      </c>
      <c r="I14">
        <v>119.02023657421142</v>
      </c>
    </row>
    <row r="15" spans="1:9" x14ac:dyDescent="0.3">
      <c r="A15" t="s">
        <v>59</v>
      </c>
      <c r="B15">
        <v>477</v>
      </c>
      <c r="C15">
        <v>3.1046602447279357</v>
      </c>
      <c r="D15" t="s">
        <v>3</v>
      </c>
      <c r="E15">
        <v>0.15552549583667594</v>
      </c>
    </row>
    <row r="16" spans="1:9" x14ac:dyDescent="0.3">
      <c r="A16" t="s">
        <v>60</v>
      </c>
      <c r="B16">
        <v>446</v>
      </c>
      <c r="C16">
        <v>2.9028898724290548</v>
      </c>
      <c r="D16" t="s">
        <v>3</v>
      </c>
      <c r="E16">
        <v>0.14823219158294709</v>
      </c>
    </row>
    <row r="17" spans="1:5" x14ac:dyDescent="0.3">
      <c r="A17" t="s">
        <v>61</v>
      </c>
      <c r="B17">
        <v>429</v>
      </c>
      <c r="C17">
        <v>2.7922416037490239</v>
      </c>
      <c r="D17" t="s">
        <v>3</v>
      </c>
      <c r="E17">
        <v>0.1441475855462459</v>
      </c>
    </row>
    <row r="18" spans="1:5" x14ac:dyDescent="0.3">
      <c r="A18" t="s">
        <v>62</v>
      </c>
      <c r="B18">
        <v>397</v>
      </c>
      <c r="C18">
        <v>2.5839625097630825</v>
      </c>
      <c r="D18" t="s">
        <v>3</v>
      </c>
      <c r="E18">
        <v>0.13628518663115588</v>
      </c>
    </row>
    <row r="19" spans="1:5" x14ac:dyDescent="0.3">
      <c r="A19" t="s">
        <v>63</v>
      </c>
      <c r="B19">
        <v>195</v>
      </c>
      <c r="C19">
        <v>1.269200728976829</v>
      </c>
      <c r="D19" t="s">
        <v>3</v>
      </c>
      <c r="E19">
        <v>7.9958832809319424E-2</v>
      </c>
    </row>
    <row r="20" spans="1:5" x14ac:dyDescent="0.3">
      <c r="A20" t="s">
        <v>64</v>
      </c>
      <c r="B20">
        <v>173</v>
      </c>
      <c r="C20">
        <v>1.1260088518614944</v>
      </c>
      <c r="D20" t="s">
        <v>3</v>
      </c>
      <c r="E20">
        <v>7.288247706422292E-2</v>
      </c>
    </row>
    <row r="21" spans="1:5" x14ac:dyDescent="0.3">
      <c r="A21" t="s">
        <v>65</v>
      </c>
      <c r="B21">
        <v>164</v>
      </c>
      <c r="C21">
        <v>1.0674303566779484</v>
      </c>
      <c r="D21" t="s">
        <v>3</v>
      </c>
      <c r="E21">
        <v>6.9913638115186721E-2</v>
      </c>
    </row>
    <row r="22" spans="1:5" x14ac:dyDescent="0.3">
      <c r="A22" t="s">
        <v>66</v>
      </c>
      <c r="B22">
        <v>119</v>
      </c>
      <c r="C22">
        <v>0.77453788076021868</v>
      </c>
      <c r="D22" t="s">
        <v>3</v>
      </c>
      <c r="E22">
        <v>5.4314069886849226E-2</v>
      </c>
    </row>
    <row r="23" spans="1:5" x14ac:dyDescent="0.3">
      <c r="A23" t="s">
        <v>67</v>
      </c>
      <c r="B23">
        <v>113</v>
      </c>
      <c r="C23">
        <v>0.7354855506378547</v>
      </c>
      <c r="D23" t="s">
        <v>3</v>
      </c>
      <c r="E23">
        <v>5.2124502950474751E-2</v>
      </c>
    </row>
    <row r="24" spans="1:5" x14ac:dyDescent="0.3">
      <c r="A24" t="s">
        <v>68</v>
      </c>
      <c r="B24">
        <v>113</v>
      </c>
      <c r="C24">
        <v>0.7354855506378547</v>
      </c>
      <c r="D24" t="s">
        <v>3</v>
      </c>
      <c r="E24">
        <v>5.2124502950474751E-2</v>
      </c>
    </row>
    <row r="25" spans="1:5" x14ac:dyDescent="0.3">
      <c r="A25" t="s">
        <v>69</v>
      </c>
      <c r="B25">
        <v>89</v>
      </c>
      <c r="C25">
        <v>0.57927623014839891</v>
      </c>
      <c r="D25" t="s">
        <v>3</v>
      </c>
      <c r="E25">
        <v>4.3049103147829691E-2</v>
      </c>
    </row>
    <row r="26" spans="1:5" x14ac:dyDescent="0.3">
      <c r="A26" t="s">
        <v>70</v>
      </c>
      <c r="B26">
        <v>70</v>
      </c>
      <c r="C26">
        <v>0.4556105180942463</v>
      </c>
      <c r="D26" t="s">
        <v>3</v>
      </c>
      <c r="E26">
        <v>3.5437309698713025E-2</v>
      </c>
    </row>
    <row r="27" spans="1:5" x14ac:dyDescent="0.3">
      <c r="A27" t="s">
        <v>24</v>
      </c>
      <c r="B27">
        <v>66</v>
      </c>
      <c r="C27">
        <v>0.42957563134600363</v>
      </c>
      <c r="D27" t="s">
        <v>3</v>
      </c>
      <c r="E27">
        <v>3.3776982590822201E-2</v>
      </c>
    </row>
    <row r="28" spans="1:5" x14ac:dyDescent="0.3">
      <c r="A28" t="s">
        <v>71</v>
      </c>
      <c r="B28">
        <v>5</v>
      </c>
      <c r="C28">
        <v>3.2543608435303302E-2</v>
      </c>
      <c r="D28" t="s">
        <v>3</v>
      </c>
      <c r="E28">
        <v>3.7702870846276042E-3</v>
      </c>
    </row>
    <row r="29" spans="1:5" x14ac:dyDescent="0.3">
      <c r="A29" t="s">
        <v>72</v>
      </c>
      <c r="B29">
        <v>3</v>
      </c>
      <c r="C29">
        <v>1.9526165061181985E-2</v>
      </c>
      <c r="D29" t="s">
        <v>3</v>
      </c>
      <c r="E29">
        <v>2.4060733691375767E-3</v>
      </c>
    </row>
  </sheetData>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zoomScale="108" workbookViewId="0">
      <selection activeCell="A11" sqref="A11:B14"/>
    </sheetView>
  </sheetViews>
  <sheetFormatPr defaultRowHeight="14.4" x14ac:dyDescent="0.3"/>
  <cols>
    <col min="1" max="1" width="20.6640625" customWidth="1"/>
    <col min="2" max="2" width="31.5546875" customWidth="1"/>
    <col min="3" max="3" width="18.21875" customWidth="1"/>
  </cols>
  <sheetData>
    <row r="1" spans="1:4" x14ac:dyDescent="0.3">
      <c r="A1" t="s">
        <v>73</v>
      </c>
      <c r="C1" t="s">
        <v>74</v>
      </c>
    </row>
    <row r="2" spans="1:4" x14ac:dyDescent="0.3">
      <c r="A2" t="s">
        <v>75</v>
      </c>
      <c r="B2">
        <v>153331</v>
      </c>
      <c r="C2" t="s">
        <v>76</v>
      </c>
      <c r="D2">
        <v>80628</v>
      </c>
    </row>
    <row r="3" spans="1:4" x14ac:dyDescent="0.3">
      <c r="A3" t="s">
        <v>77</v>
      </c>
      <c r="B3">
        <v>202797</v>
      </c>
      <c r="C3" t="s">
        <v>78</v>
      </c>
      <c r="D3">
        <v>96204</v>
      </c>
    </row>
    <row r="4" spans="1:4" x14ac:dyDescent="0.3">
      <c r="A4" t="s">
        <v>79</v>
      </c>
      <c r="B4">
        <v>0.98603789237495554</v>
      </c>
      <c r="C4" t="s">
        <v>79</v>
      </c>
      <c r="D4">
        <v>0.99439600572908726</v>
      </c>
    </row>
    <row r="6" spans="1:4" x14ac:dyDescent="0.3">
      <c r="A6" t="s">
        <v>17</v>
      </c>
      <c r="B6" t="s">
        <v>80</v>
      </c>
      <c r="C6" t="s">
        <v>17</v>
      </c>
      <c r="D6" t="s">
        <v>81</v>
      </c>
    </row>
    <row r="7" spans="1:4" x14ac:dyDescent="0.3">
      <c r="A7" t="s">
        <v>82</v>
      </c>
      <c r="B7" t="s">
        <v>83</v>
      </c>
      <c r="C7" t="s">
        <v>82</v>
      </c>
      <c r="D7" t="s">
        <v>84</v>
      </c>
    </row>
    <row r="8" spans="1:4" x14ac:dyDescent="0.3">
      <c r="A8" t="s">
        <v>85</v>
      </c>
      <c r="B8">
        <v>416</v>
      </c>
      <c r="C8" t="s">
        <v>85</v>
      </c>
      <c r="D8">
        <v>224</v>
      </c>
    </row>
    <row r="9" spans="1:4" x14ac:dyDescent="0.3">
      <c r="A9" t="s">
        <v>22</v>
      </c>
      <c r="B9">
        <v>410.19176322798148</v>
      </c>
      <c r="C9" t="s">
        <v>22</v>
      </c>
      <c r="D9">
        <v>222.74470528331554</v>
      </c>
    </row>
    <row r="11" spans="1:4" x14ac:dyDescent="0.3">
      <c r="A11" t="s">
        <v>86</v>
      </c>
      <c r="B11" t="s">
        <v>87</v>
      </c>
      <c r="C11" t="s">
        <v>88</v>
      </c>
      <c r="D11" t="s">
        <v>89</v>
      </c>
    </row>
    <row r="12" spans="1:4" x14ac:dyDescent="0.3">
      <c r="A12">
        <v>0.1</v>
      </c>
      <c r="B12">
        <v>0.46899559358928122</v>
      </c>
      <c r="C12">
        <v>215.0895962948405</v>
      </c>
      <c r="D12">
        <v>117.68969231931655</v>
      </c>
    </row>
    <row r="13" spans="1:4" x14ac:dyDescent="0.3">
      <c r="A13">
        <v>0.5</v>
      </c>
      <c r="B13">
        <v>1</v>
      </c>
      <c r="C13">
        <v>-5.8082367720184962</v>
      </c>
      <c r="D13">
        <v>-1.2552947166844532</v>
      </c>
    </row>
    <row r="14" spans="1:4" x14ac:dyDescent="0.3">
      <c r="A14">
        <v>1</v>
      </c>
      <c r="B14">
        <v>0</v>
      </c>
      <c r="C14">
        <v>410.19176322798148</v>
      </c>
      <c r="D14">
        <v>222.74470528331554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Чувашский</vt:lpstr>
      <vt:lpstr>Албанский</vt:lpstr>
      <vt:lpstr>Бинарные</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2026-03-12T16:18:44Z</dcterms:created>
  <dcterms:modified xsi:type="dcterms:W3CDTF">2026-03-12T21:18:00Z</dcterms:modified>
  <cp:category/>
</cp:coreProperties>
</file>